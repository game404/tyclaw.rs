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38640" windowHeight="21120" tabRatio="600" firstSheet="0" activeTab="0" autoFilterDateGrouping="1"/>
  </bookViews>
  <sheets>
    <sheet name="汇总" sheetId="1" state="visible" r:id="rId1"/>
    <sheet name="Channel_A-整体" sheetId="2" state="visible" r:id="rId2"/>
    <sheet name="Channel_A-新用户" sheetId="3" state="visible" r:id="rId3"/>
    <sheet name="Channel_A-老用户" sheetId="4" state="visible" r:id="rId4"/>
    <sheet name="Channel_B-整体" sheetId="5" state="visible" r:id="rId5"/>
    <sheet name="Channel_B-新用户" sheetId="6" state="visible" r:id="rId6"/>
    <sheet name="Channel_B-老用户" sheetId="7" state="visible" r:id="rId7"/>
    <sheet name="Channel_C-整体" sheetId="8" state="visible" r:id="rId8"/>
    <sheet name="Channel_C-新用户" sheetId="9" state="visible" r:id="rId9"/>
    <sheet name="Channel_C-老用户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yyyy&quot;年&quot;m&quot;月&quot;;@"/>
    <numFmt numFmtId="166" formatCode="0.000_ "/>
    <numFmt numFmtId="167" formatCode="0.00_);[Red]\(0.00\)"/>
  </numFmts>
  <fonts count="9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color rgb="FFFF0000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0" fontId="2" fillId="0" borderId="7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/>
    </xf>
    <xf numFmtId="1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0" fontId="3" fillId="0" borderId="5" applyAlignment="1" pivotButton="0" quotePrefix="0" xfId="0">
      <alignment horizontal="center" vertical="center"/>
    </xf>
    <xf numFmtId="10" fontId="3" fillId="0" borderId="7" applyAlignment="1" pivotButton="0" quotePrefix="0" xfId="0">
      <alignment horizontal="center" vertical="center"/>
    </xf>
    <xf numFmtId="10" fontId="3" fillId="0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10" fontId="5" fillId="0" borderId="0" applyAlignment="1" pivotButton="0" quotePrefix="0" xfId="0">
      <alignment horizontal="center" vertical="center"/>
    </xf>
    <xf numFmtId="10" fontId="5" fillId="0" borderId="5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0" fontId="5" fillId="0" borderId="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0" fontId="0" fillId="0" borderId="2" pivotButton="0" quotePrefix="0" xfId="0"/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4" fontId="4" fillId="0" borderId="4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2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3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4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5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6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7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8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comments/comment9.xml><?xml version="1.0" encoding="utf-8"?>
<comments xmlns="http://schemas.openxmlformats.org/spreadsheetml/2006/main">
  <authors>
    <author>钟骥</author>
  </authors>
  <commentList>
    <comment ref="O53" authorId="0" shapeId="0">
      <text>
        <t>钟骥:
预估生成</t>
      </text>
    </comment>
    <comment ref="P53" authorId="0" shapeId="0">
      <text>
        <t>钟骥:
预估生成</t>
      </text>
    </comment>
    <comment ref="Q53" authorId="0" shapeId="0">
      <text>
        <t>钟骥:
预估生成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"/>
  <sheetViews>
    <sheetView tabSelected="1" workbookViewId="0">
      <selection activeCell="N45" sqref="N45"/>
    </sheetView>
  </sheetViews>
  <sheetFormatPr baseColWidth="8" defaultRowHeight="13.9"/>
  <cols>
    <col width="10.06640625" bestFit="1" customWidth="1" min="12" max="18"/>
    <col width="10.06640625" bestFit="1" customWidth="1" min="31" max="37"/>
    <col width="10.06640625" bestFit="1" customWidth="1" min="50" max="56"/>
  </cols>
  <sheetData>
    <row r="1" ht="15" customHeight="1">
      <c r="A1" s="31" t="inlineStr">
        <is>
          <t>Channel_A-整体</t>
        </is>
      </c>
      <c r="B1" s="5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39" t="n"/>
      <c r="T1" s="31" t="inlineStr">
        <is>
          <t>Channel_A-新用户</t>
        </is>
      </c>
      <c r="U1" s="52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39" t="n"/>
      <c r="AM1" s="31" t="inlineStr">
        <is>
          <t>Channel_A-老用户</t>
        </is>
      </c>
      <c r="AN1" s="52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39" t="n"/>
    </row>
    <row r="2" ht="15" customHeight="1">
      <c r="A2" s="2" t="inlineStr">
        <is>
          <t>倍率</t>
        </is>
      </c>
      <c r="B2" s="47" t="inlineStr">
        <is>
          <t>首日</t>
        </is>
      </c>
      <c r="C2" s="47" t="inlineStr">
        <is>
          <t>3日</t>
        </is>
      </c>
      <c r="D2" s="47" t="inlineStr">
        <is>
          <t>7日</t>
        </is>
      </c>
      <c r="E2" s="47" t="inlineStr">
        <is>
          <t>15日</t>
        </is>
      </c>
      <c r="F2" s="47" t="inlineStr">
        <is>
          <t>30日</t>
        </is>
      </c>
      <c r="G2" s="47" t="inlineStr">
        <is>
          <t>45日</t>
        </is>
      </c>
      <c r="H2" s="47" t="inlineStr">
        <is>
          <t>60日</t>
        </is>
      </c>
      <c r="I2" s="47" t="inlineStr">
        <is>
          <t>90日</t>
        </is>
      </c>
      <c r="J2" s="47" t="inlineStr">
        <is>
          <t>120日</t>
        </is>
      </c>
      <c r="K2" s="47" t="inlineStr">
        <is>
          <t>150日</t>
        </is>
      </c>
      <c r="L2" s="47" t="inlineStr">
        <is>
          <t>180日</t>
        </is>
      </c>
      <c r="M2" s="47" t="inlineStr">
        <is>
          <t>210日</t>
        </is>
      </c>
      <c r="N2" s="47" t="inlineStr">
        <is>
          <t>240日</t>
        </is>
      </c>
      <c r="O2" s="47" t="inlineStr">
        <is>
          <t>270日</t>
        </is>
      </c>
      <c r="P2" s="47" t="inlineStr">
        <is>
          <t>300日</t>
        </is>
      </c>
      <c r="Q2" s="47" t="inlineStr">
        <is>
          <t>330日</t>
        </is>
      </c>
      <c r="R2" s="3" t="inlineStr">
        <is>
          <t>360日</t>
        </is>
      </c>
      <c r="T2" s="2" t="inlineStr">
        <is>
          <t>倍率</t>
        </is>
      </c>
      <c r="U2" s="47" t="inlineStr">
        <is>
          <t>首日</t>
        </is>
      </c>
      <c r="V2" s="47" t="inlineStr">
        <is>
          <t>3日</t>
        </is>
      </c>
      <c r="W2" s="47" t="inlineStr">
        <is>
          <t>7日</t>
        </is>
      </c>
      <c r="X2" s="47" t="inlineStr">
        <is>
          <t>15日</t>
        </is>
      </c>
      <c r="Y2" s="47" t="inlineStr">
        <is>
          <t>30日</t>
        </is>
      </c>
      <c r="Z2" s="47" t="inlineStr">
        <is>
          <t>45日</t>
        </is>
      </c>
      <c r="AA2" s="47" t="inlineStr">
        <is>
          <t>60日</t>
        </is>
      </c>
      <c r="AB2" s="47" t="inlineStr">
        <is>
          <t>90日</t>
        </is>
      </c>
      <c r="AC2" s="47" t="inlineStr">
        <is>
          <t>120日</t>
        </is>
      </c>
      <c r="AD2" s="47" t="inlineStr">
        <is>
          <t>150日</t>
        </is>
      </c>
      <c r="AE2" s="47" t="inlineStr">
        <is>
          <t>180日</t>
        </is>
      </c>
      <c r="AF2" s="47" t="inlineStr">
        <is>
          <t>210日</t>
        </is>
      </c>
      <c r="AG2" s="47" t="inlineStr">
        <is>
          <t>240日</t>
        </is>
      </c>
      <c r="AH2" s="47" t="inlineStr">
        <is>
          <t>270日</t>
        </is>
      </c>
      <c r="AI2" s="47" t="inlineStr">
        <is>
          <t>300日</t>
        </is>
      </c>
      <c r="AJ2" s="47" t="inlineStr">
        <is>
          <t>330日</t>
        </is>
      </c>
      <c r="AK2" s="3" t="inlineStr">
        <is>
          <t>360日</t>
        </is>
      </c>
      <c r="AM2" s="2" t="inlineStr">
        <is>
          <t>倍率</t>
        </is>
      </c>
      <c r="AN2" s="47" t="inlineStr">
        <is>
          <t>首日</t>
        </is>
      </c>
      <c r="AO2" s="47" t="inlineStr">
        <is>
          <t>3日</t>
        </is>
      </c>
      <c r="AP2" s="47" t="inlineStr">
        <is>
          <t>7日</t>
        </is>
      </c>
      <c r="AQ2" s="47" t="inlineStr">
        <is>
          <t>15日</t>
        </is>
      </c>
      <c r="AR2" s="47" t="inlineStr">
        <is>
          <t>30日</t>
        </is>
      </c>
      <c r="AS2" s="47" t="inlineStr">
        <is>
          <t>45日</t>
        </is>
      </c>
      <c r="AT2" s="47" t="inlineStr">
        <is>
          <t>60日</t>
        </is>
      </c>
      <c r="AU2" s="47" t="inlineStr">
        <is>
          <t>90日</t>
        </is>
      </c>
      <c r="AV2" s="47" t="inlineStr">
        <is>
          <t>120日</t>
        </is>
      </c>
      <c r="AW2" s="47" t="inlineStr">
        <is>
          <t>150日</t>
        </is>
      </c>
      <c r="AX2" s="47" t="inlineStr">
        <is>
          <t>180日</t>
        </is>
      </c>
      <c r="AY2" s="47" t="inlineStr">
        <is>
          <t>210日</t>
        </is>
      </c>
      <c r="AZ2" s="47" t="inlineStr">
        <is>
          <t>240日</t>
        </is>
      </c>
      <c r="BA2" s="47" t="inlineStr">
        <is>
          <t>270日</t>
        </is>
      </c>
      <c r="BB2" s="47" t="inlineStr">
        <is>
          <t>300日</t>
        </is>
      </c>
      <c r="BC2" s="47" t="inlineStr">
        <is>
          <t>330日</t>
        </is>
      </c>
      <c r="BD2" s="3" t="inlineStr">
        <is>
          <t>360日</t>
        </is>
      </c>
    </row>
    <row r="3" ht="15" customHeight="1">
      <c r="A3" s="2" t="n"/>
      <c r="B3" s="53" t="n">
        <v>1</v>
      </c>
      <c r="C3" s="53" t="n">
        <v>2.848223745667604</v>
      </c>
      <c r="D3" s="53" t="n">
        <v>6.34994550109364</v>
      </c>
      <c r="E3" s="53" t="n">
        <v>11.69801003185925</v>
      </c>
      <c r="F3" s="53" t="n">
        <v>22.99398882020494</v>
      </c>
      <c r="G3" s="53" t="n">
        <v>34.34018222552062</v>
      </c>
      <c r="H3" s="53" t="n">
        <v>47.20774784555701</v>
      </c>
      <c r="I3" s="53" t="n">
        <v>69.92031391227805</v>
      </c>
      <c r="J3" s="53" t="n">
        <v>93.00688796096605</v>
      </c>
      <c r="K3" s="53" t="n">
        <v>112.3677157505512</v>
      </c>
      <c r="L3" s="53" t="n">
        <v>132.55186772953</v>
      </c>
      <c r="M3" s="53" t="n">
        <v>150.2608869623241</v>
      </c>
      <c r="N3" s="53" t="n">
        <v>168.9777277603766</v>
      </c>
      <c r="O3" s="53" t="n">
        <v>184.9136260108737</v>
      </c>
      <c r="P3" s="54" t="n">
        <v>195.8010638040373</v>
      </c>
      <c r="Q3" s="54" t="n">
        <v>203.1525037450435</v>
      </c>
      <c r="R3" s="55" t="n">
        <v>208.5459330480093</v>
      </c>
      <c r="T3" s="2" t="n"/>
      <c r="U3" s="53" t="n">
        <v>1</v>
      </c>
      <c r="V3" s="53" t="n">
        <v>2.928008830387113</v>
      </c>
      <c r="W3" s="53" t="n">
        <v>6.591957612765972</v>
      </c>
      <c r="X3" s="53" t="n">
        <v>12.27747624084627</v>
      </c>
      <c r="Y3" s="53" t="n">
        <v>24.12571331988807</v>
      </c>
      <c r="Z3" s="53" t="n">
        <v>35.94165516387217</v>
      </c>
      <c r="AA3" s="53" t="n">
        <v>49.24647708834141</v>
      </c>
      <c r="AB3" s="53" t="n">
        <v>72.84721646889246</v>
      </c>
      <c r="AC3" s="53" t="n">
        <v>97.06223362022291</v>
      </c>
      <c r="AD3" s="53" t="n">
        <v>117.2750446753562</v>
      </c>
      <c r="AE3" s="53" t="n">
        <v>138.4681873254461</v>
      </c>
      <c r="AF3" s="53" t="n">
        <v>157.1670194373761</v>
      </c>
      <c r="AG3" s="53" t="n">
        <v>177.0187521560572</v>
      </c>
      <c r="AH3" s="53" t="n">
        <v>194.0217905330025</v>
      </c>
      <c r="AI3" s="54" t="n">
        <v>209.4347365099233</v>
      </c>
      <c r="AJ3" s="54" t="n">
        <v>221.6009907489997</v>
      </c>
      <c r="AK3" s="55" t="n">
        <v>229.7590449217063</v>
      </c>
      <c r="AM3" s="2" t="n"/>
      <c r="AN3" s="53" t="n">
        <v>1</v>
      </c>
      <c r="AO3" s="53" t="n">
        <v>2.750048680038141</v>
      </c>
      <c r="AP3" s="53" t="n">
        <v>6.07636735930307</v>
      </c>
      <c r="AQ3" s="53" t="n">
        <v>11.07935285738827</v>
      </c>
      <c r="AR3" s="53" t="n">
        <v>21.79944845137747</v>
      </c>
      <c r="AS3" s="53" t="n">
        <v>32.62200744594528</v>
      </c>
      <c r="AT3" s="53" t="n">
        <v>45.01778584385086</v>
      </c>
      <c r="AU3" s="53" t="n">
        <v>66.74263565031792</v>
      </c>
      <c r="AV3" s="53" t="n">
        <v>88.55406135685796</v>
      </c>
      <c r="AW3" s="53" t="n">
        <v>106.9474544091331</v>
      </c>
      <c r="AX3" s="53" t="n">
        <v>125.8695977373107</v>
      </c>
      <c r="AY3" s="53" t="n">
        <v>142.2565040476888</v>
      </c>
      <c r="AZ3" s="53" t="n">
        <v>159.3797626887152</v>
      </c>
      <c r="BA3" s="53" t="n">
        <v>173.7104707693145</v>
      </c>
      <c r="BB3" s="54" t="n">
        <v>183.9382835342368</v>
      </c>
      <c r="BC3" s="54" t="n">
        <v>190.8443299978404</v>
      </c>
      <c r="BD3" s="55" t="n">
        <v>195.9109936261017</v>
      </c>
    </row>
    <row r="4" ht="15" customHeight="1">
      <c r="A4" s="2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3" t="n"/>
      <c r="T4" s="2" t="n"/>
      <c r="U4" s="47" t="n"/>
      <c r="V4" s="47" t="n"/>
      <c r="W4" s="47" t="n"/>
      <c r="X4" s="47" t="n"/>
      <c r="Y4" s="47" t="n"/>
      <c r="Z4" s="47" t="n"/>
      <c r="AA4" s="47" t="n"/>
      <c r="AB4" s="47" t="n"/>
      <c r="AC4" s="47" t="n"/>
      <c r="AD4" s="47" t="n"/>
      <c r="AE4" s="47" t="n"/>
      <c r="AF4" s="47" t="n"/>
      <c r="AG4" s="47" t="n"/>
      <c r="AH4" s="47" t="n"/>
      <c r="AI4" s="47" t="n"/>
      <c r="AJ4" s="47" t="n"/>
      <c r="AK4" s="3" t="n"/>
      <c r="AM4" s="2" t="n"/>
      <c r="AN4" s="47" t="n"/>
      <c r="AO4" s="47" t="n"/>
      <c r="AP4" s="47" t="n"/>
      <c r="AQ4" s="47" t="n"/>
      <c r="AR4" s="47" t="n"/>
      <c r="AS4" s="47" t="n"/>
      <c r="AT4" s="47" t="n"/>
      <c r="AU4" s="47" t="n"/>
      <c r="AV4" s="47" t="n"/>
      <c r="AW4" s="47" t="n"/>
      <c r="AX4" s="47" t="n"/>
      <c r="AY4" s="47" t="n"/>
      <c r="AZ4" s="47" t="n"/>
      <c r="BA4" s="47" t="n"/>
      <c r="BB4" s="47" t="n"/>
      <c r="BC4" s="47" t="n"/>
      <c r="BD4" s="3" t="n"/>
    </row>
    <row r="5" ht="15" customHeight="1">
      <c r="A5" s="2" t="inlineStr">
        <is>
          <t>模型</t>
        </is>
      </c>
      <c r="B5" s="47" t="inlineStr">
        <is>
          <t>首日</t>
        </is>
      </c>
      <c r="C5" s="47" t="inlineStr">
        <is>
          <t>3日</t>
        </is>
      </c>
      <c r="D5" s="47" t="inlineStr">
        <is>
          <t>7日</t>
        </is>
      </c>
      <c r="E5" s="47" t="inlineStr">
        <is>
          <t>15日</t>
        </is>
      </c>
      <c r="F5" s="47" t="inlineStr">
        <is>
          <t>30日</t>
        </is>
      </c>
      <c r="G5" s="47" t="inlineStr">
        <is>
          <t>45日</t>
        </is>
      </c>
      <c r="H5" s="47" t="inlineStr">
        <is>
          <t>60日</t>
        </is>
      </c>
      <c r="I5" s="47" t="inlineStr">
        <is>
          <t>90日</t>
        </is>
      </c>
      <c r="J5" s="47" t="inlineStr">
        <is>
          <t>120日</t>
        </is>
      </c>
      <c r="K5" s="47" t="inlineStr">
        <is>
          <t>150日</t>
        </is>
      </c>
      <c r="L5" s="47" t="inlineStr">
        <is>
          <t>180日</t>
        </is>
      </c>
      <c r="M5" s="47" t="inlineStr">
        <is>
          <t>210日</t>
        </is>
      </c>
      <c r="N5" s="47" t="inlineStr">
        <is>
          <t>240日</t>
        </is>
      </c>
      <c r="O5" s="47" t="inlineStr">
        <is>
          <t>270日</t>
        </is>
      </c>
      <c r="P5" s="47" t="inlineStr">
        <is>
          <t>300日</t>
        </is>
      </c>
      <c r="Q5" s="47" t="inlineStr">
        <is>
          <t>330日</t>
        </is>
      </c>
      <c r="R5" s="3" t="inlineStr">
        <is>
          <t>360日</t>
        </is>
      </c>
      <c r="T5" s="2" t="inlineStr">
        <is>
          <t>模型</t>
        </is>
      </c>
      <c r="U5" s="47" t="inlineStr">
        <is>
          <t>首日</t>
        </is>
      </c>
      <c r="V5" s="47" t="inlineStr">
        <is>
          <t>3日</t>
        </is>
      </c>
      <c r="W5" s="47" t="inlineStr">
        <is>
          <t>7日</t>
        </is>
      </c>
      <c r="X5" s="47" t="inlineStr">
        <is>
          <t>15日</t>
        </is>
      </c>
      <c r="Y5" s="47" t="inlineStr">
        <is>
          <t>30日</t>
        </is>
      </c>
      <c r="Z5" s="47" t="inlineStr">
        <is>
          <t>45日</t>
        </is>
      </c>
      <c r="AA5" s="47" t="inlineStr">
        <is>
          <t>60日</t>
        </is>
      </c>
      <c r="AB5" s="47" t="inlineStr">
        <is>
          <t>90日</t>
        </is>
      </c>
      <c r="AC5" s="47" t="inlineStr">
        <is>
          <t>120日</t>
        </is>
      </c>
      <c r="AD5" s="47" t="inlineStr">
        <is>
          <t>150日</t>
        </is>
      </c>
      <c r="AE5" s="47" t="inlineStr">
        <is>
          <t>180日</t>
        </is>
      </c>
      <c r="AF5" s="47" t="inlineStr">
        <is>
          <t>210日</t>
        </is>
      </c>
      <c r="AG5" s="47" t="inlineStr">
        <is>
          <t>240日</t>
        </is>
      </c>
      <c r="AH5" s="47" t="inlineStr">
        <is>
          <t>270日</t>
        </is>
      </c>
      <c r="AI5" s="47" t="inlineStr">
        <is>
          <t>300日</t>
        </is>
      </c>
      <c r="AJ5" s="47" t="inlineStr">
        <is>
          <t>330日</t>
        </is>
      </c>
      <c r="AK5" s="3" t="inlineStr">
        <is>
          <t>360日</t>
        </is>
      </c>
      <c r="AM5" s="2" t="inlineStr">
        <is>
          <t>模型</t>
        </is>
      </c>
      <c r="AN5" s="47" t="inlineStr">
        <is>
          <t>首日</t>
        </is>
      </c>
      <c r="AO5" s="47" t="inlineStr">
        <is>
          <t>3日</t>
        </is>
      </c>
      <c r="AP5" s="47" t="inlineStr">
        <is>
          <t>7日</t>
        </is>
      </c>
      <c r="AQ5" s="47" t="inlineStr">
        <is>
          <t>15日</t>
        </is>
      </c>
      <c r="AR5" s="47" t="inlineStr">
        <is>
          <t>30日</t>
        </is>
      </c>
      <c r="AS5" s="47" t="inlineStr">
        <is>
          <t>45日</t>
        </is>
      </c>
      <c r="AT5" s="47" t="inlineStr">
        <is>
          <t>60日</t>
        </is>
      </c>
      <c r="AU5" s="47" t="inlineStr">
        <is>
          <t>90日</t>
        </is>
      </c>
      <c r="AV5" s="47" t="inlineStr">
        <is>
          <t>120日</t>
        </is>
      </c>
      <c r="AW5" s="47" t="inlineStr">
        <is>
          <t>150日</t>
        </is>
      </c>
      <c r="AX5" s="47" t="inlineStr">
        <is>
          <t>180日</t>
        </is>
      </c>
      <c r="AY5" s="47" t="inlineStr">
        <is>
          <t>210日</t>
        </is>
      </c>
      <c r="AZ5" s="47" t="inlineStr">
        <is>
          <t>240日</t>
        </is>
      </c>
      <c r="BA5" s="47" t="inlineStr">
        <is>
          <t>270日</t>
        </is>
      </c>
      <c r="BB5" s="47" t="inlineStr">
        <is>
          <t>300日</t>
        </is>
      </c>
      <c r="BC5" s="47" t="inlineStr">
        <is>
          <t>330日</t>
        </is>
      </c>
      <c r="BD5" s="3" t="inlineStr">
        <is>
          <t>360日</t>
        </is>
      </c>
    </row>
    <row r="6" ht="15" customHeight="1">
      <c r="A6" s="2" t="n"/>
      <c r="B6" s="50" t="n">
        <v>0.008500000000000001</v>
      </c>
      <c r="C6" s="50" t="n">
        <v>0.02420990183817463</v>
      </c>
      <c r="D6" s="50" t="n">
        <v>0.05397453675929594</v>
      </c>
      <c r="E6" s="50" t="n">
        <v>0.09943308527080362</v>
      </c>
      <c r="F6" s="50" t="n">
        <v>0.195448904971742</v>
      </c>
      <c r="G6" s="50" t="n">
        <v>0.2918915489169253</v>
      </c>
      <c r="H6" s="50" t="n">
        <v>0.4012658566872345</v>
      </c>
      <c r="I6" s="50" t="n">
        <v>0.5943226682543634</v>
      </c>
      <c r="J6" s="50" t="n">
        <v>0.7905585476682114</v>
      </c>
      <c r="K6" s="50" t="n">
        <v>0.955125583879685</v>
      </c>
      <c r="L6" s="50" t="n">
        <v>1.126690875701005</v>
      </c>
      <c r="M6" s="50" t="n">
        <v>1.277217539179755</v>
      </c>
      <c r="N6" s="50" t="n">
        <v>1.436310685963201</v>
      </c>
      <c r="O6" s="50" t="n">
        <v>1.571765821092427</v>
      </c>
      <c r="P6" s="51" t="n">
        <v>1.664309042334318</v>
      </c>
      <c r="Q6" s="51" t="n">
        <v>1.72679628183287</v>
      </c>
      <c r="R6" s="24" t="n">
        <v>1.772640430908079</v>
      </c>
      <c r="T6" s="2" t="n"/>
      <c r="U6" s="50" t="n">
        <v>0.008</v>
      </c>
      <c r="V6" s="50" t="n">
        <v>0.02342407064309691</v>
      </c>
      <c r="W6" s="50" t="n">
        <v>0.05273566090212778</v>
      </c>
      <c r="X6" s="50" t="n">
        <v>0.09821980992677018</v>
      </c>
      <c r="Y6" s="50" t="n">
        <v>0.1930057065591045</v>
      </c>
      <c r="Z6" s="50" t="n">
        <v>0.2875332413109774</v>
      </c>
      <c r="AA6" s="50" t="n">
        <v>0.3939718167067313</v>
      </c>
      <c r="AB6" s="50" t="n">
        <v>0.5827777317511396</v>
      </c>
      <c r="AC6" s="50" t="n">
        <v>0.7764978689617833</v>
      </c>
      <c r="AD6" s="50" t="n">
        <v>0.9382003574028498</v>
      </c>
      <c r="AE6" s="50" t="n">
        <v>1.107745498603569</v>
      </c>
      <c r="AF6" s="50" t="n">
        <v>1.257336155499009</v>
      </c>
      <c r="AG6" s="50" t="n">
        <v>1.416150017248457</v>
      </c>
      <c r="AH6" s="50" t="n">
        <v>1.55217432426402</v>
      </c>
      <c r="AI6" s="51" t="n">
        <v>1.675477892079386</v>
      </c>
      <c r="AJ6" s="51" t="n">
        <v>1.772807925991998</v>
      </c>
      <c r="AK6" s="24" t="n">
        <v>1.83807235937365</v>
      </c>
      <c r="AM6" s="2" t="n"/>
      <c r="AN6" s="50" t="n">
        <v>0.008500000000000001</v>
      </c>
      <c r="AO6" s="50" t="n">
        <v>0.0233754137803242</v>
      </c>
      <c r="AP6" s="50" t="n">
        <v>0.0516491225540761</v>
      </c>
      <c r="AQ6" s="50" t="n">
        <v>0.09417449928780032</v>
      </c>
      <c r="AR6" s="50" t="n">
        <v>0.1852953118367085</v>
      </c>
      <c r="AS6" s="50" t="n">
        <v>0.2772870632905349</v>
      </c>
      <c r="AT6" s="50" t="n">
        <v>0.3826511796727323</v>
      </c>
      <c r="AU6" s="50" t="n">
        <v>0.5673124030277023</v>
      </c>
      <c r="AV6" s="50" t="n">
        <v>0.7527095215332926</v>
      </c>
      <c r="AW6" s="50" t="n">
        <v>0.9090533624776314</v>
      </c>
      <c r="AX6" s="50" t="n">
        <v>1.069891580767141</v>
      </c>
      <c r="AY6" s="50" t="n">
        <v>1.209180284405355</v>
      </c>
      <c r="AZ6" s="50" t="n">
        <v>1.354727982854079</v>
      </c>
      <c r="BA6" s="50" t="n">
        <v>1.476539001539174</v>
      </c>
      <c r="BB6" s="51" t="n">
        <v>1.563475410041013</v>
      </c>
      <c r="BC6" s="51" t="n">
        <v>1.622176804981644</v>
      </c>
      <c r="BD6" s="24" t="n">
        <v>1.665243445821864</v>
      </c>
    </row>
    <row r="7" ht="15" customHeight="1">
      <c r="A7" s="2" t="n"/>
      <c r="B7" s="50" t="n">
        <v>0.0075</v>
      </c>
      <c r="C7" s="50" t="n">
        <v>0.02136167809250702</v>
      </c>
      <c r="D7" s="50" t="n">
        <v>0.0476245912582023</v>
      </c>
      <c r="E7" s="50" t="n">
        <v>0.08773507523894436</v>
      </c>
      <c r="F7" s="50" t="n">
        <v>0.172454916151537</v>
      </c>
      <c r="G7" s="50" t="n">
        <v>0.2575513666914047</v>
      </c>
      <c r="H7" s="50" t="n">
        <v>0.3540581088416775</v>
      </c>
      <c r="I7" s="50" t="n">
        <v>0.5244023543420853</v>
      </c>
      <c r="J7" s="50" t="n">
        <v>0.6975516597072454</v>
      </c>
      <c r="K7" s="50" t="n">
        <v>0.8427578681291339</v>
      </c>
      <c r="L7" s="50" t="n">
        <v>0.9941390079714748</v>
      </c>
      <c r="M7" s="50" t="n">
        <v>1.126956652217431</v>
      </c>
      <c r="N7" s="50" t="n">
        <v>1.267332958202824</v>
      </c>
      <c r="O7" s="50" t="n">
        <v>1.386852195081553</v>
      </c>
      <c r="P7" s="51" t="n">
        <v>1.46850797853028</v>
      </c>
      <c r="Q7" s="51" t="n">
        <v>1.523643778087826</v>
      </c>
      <c r="R7" s="24" t="n">
        <v>1.564094497860069</v>
      </c>
      <c r="T7" s="2" t="n"/>
      <c r="U7" s="50" t="n">
        <v>0.007</v>
      </c>
      <c r="V7" s="50" t="n">
        <v>0.02049606181270979</v>
      </c>
      <c r="W7" s="50" t="n">
        <v>0.04614370328936181</v>
      </c>
      <c r="X7" s="50" t="n">
        <v>0.0859423336859239</v>
      </c>
      <c r="Y7" s="50" t="n">
        <v>0.1688799932392165</v>
      </c>
      <c r="Z7" s="50" t="n">
        <v>0.2515915861471052</v>
      </c>
      <c r="AA7" s="50" t="n">
        <v>0.3447253396183899</v>
      </c>
      <c r="AB7" s="50" t="n">
        <v>0.5099305152822472</v>
      </c>
      <c r="AC7" s="50" t="n">
        <v>0.6794356353415604</v>
      </c>
      <c r="AD7" s="50" t="n">
        <v>0.8209253127274937</v>
      </c>
      <c r="AE7" s="50" t="n">
        <v>0.9692773112781231</v>
      </c>
      <c r="AF7" s="50" t="n">
        <v>1.100169136061633</v>
      </c>
      <c r="AG7" s="50" t="n">
        <v>1.2391312650924</v>
      </c>
      <c r="AH7" s="50" t="n">
        <v>1.358152533731017</v>
      </c>
      <c r="AI7" s="51" t="n">
        <v>1.466043155569463</v>
      </c>
      <c r="AJ7" s="51" t="n">
        <v>1.551206935242998</v>
      </c>
      <c r="AK7" s="24" t="n">
        <v>1.608313314451944</v>
      </c>
      <c r="AM7" s="2" t="n"/>
      <c r="AN7" s="50" t="n">
        <v>0.0075</v>
      </c>
      <c r="AO7" s="50" t="n">
        <v>0.02062536510028605</v>
      </c>
      <c r="AP7" s="50" t="n">
        <v>0.04557275519477303</v>
      </c>
      <c r="AQ7" s="50" t="n">
        <v>0.08309514643041205</v>
      </c>
      <c r="AR7" s="50" t="n">
        <v>0.163495863385331</v>
      </c>
      <c r="AS7" s="50" t="n">
        <v>0.2446650558445896</v>
      </c>
      <c r="AT7" s="50" t="n">
        <v>0.3376333938288814</v>
      </c>
      <c r="AU7" s="50" t="n">
        <v>0.5005697673773843</v>
      </c>
      <c r="AV7" s="50" t="n">
        <v>0.6641554601764347</v>
      </c>
      <c r="AW7" s="50" t="n">
        <v>0.8021059080684982</v>
      </c>
      <c r="AX7" s="50" t="n">
        <v>0.9440219830298304</v>
      </c>
      <c r="AY7" s="50" t="n">
        <v>1.066923780357666</v>
      </c>
      <c r="AZ7" s="50" t="n">
        <v>1.195348220165364</v>
      </c>
      <c r="BA7" s="50" t="n">
        <v>1.302828530769859</v>
      </c>
      <c r="BB7" s="51" t="n">
        <v>1.379537126506776</v>
      </c>
      <c r="BC7" s="51" t="n">
        <v>1.431332474983803</v>
      </c>
      <c r="BD7" s="24" t="n">
        <v>1.469332452195762</v>
      </c>
    </row>
    <row r="8" ht="15" customHeight="1">
      <c r="A8" s="5" t="n"/>
      <c r="B8" s="6" t="n">
        <v>0.0065</v>
      </c>
      <c r="C8" s="6" t="n">
        <v>0.01851345434683942</v>
      </c>
      <c r="D8" s="6" t="n">
        <v>0.04127464575710866</v>
      </c>
      <c r="E8" s="6" t="n">
        <v>0.0760370652070851</v>
      </c>
      <c r="F8" s="6" t="n">
        <v>0.1494609273313321</v>
      </c>
      <c r="G8" s="6" t="n">
        <v>0.223211184465884</v>
      </c>
      <c r="H8" s="6" t="n">
        <v>0.3068503609961205</v>
      </c>
      <c r="I8" s="6" t="n">
        <v>0.4544820404298072</v>
      </c>
      <c r="J8" s="6" t="n">
        <v>0.6045447717462793</v>
      </c>
      <c r="K8" s="6" t="n">
        <v>0.7303901523785827</v>
      </c>
      <c r="L8" s="6" t="n">
        <v>0.8615871402419449</v>
      </c>
      <c r="M8" s="6" t="n">
        <v>0.9766957652551065</v>
      </c>
      <c r="N8" s="6" t="n">
        <v>1.098355230442448</v>
      </c>
      <c r="O8" s="6" t="n">
        <v>1.201938569070679</v>
      </c>
      <c r="P8" s="25" t="n">
        <v>1.272706914726243</v>
      </c>
      <c r="Q8" s="25" t="n">
        <v>1.320491274342783</v>
      </c>
      <c r="R8" s="26" t="n">
        <v>1.35554856481206</v>
      </c>
      <c r="T8" s="5" t="n"/>
      <c r="U8" s="6" t="n">
        <v>0.006</v>
      </c>
      <c r="V8" s="6" t="n">
        <v>0.01756805298232268</v>
      </c>
      <c r="W8" s="6" t="n">
        <v>0.03955174567659583</v>
      </c>
      <c r="X8" s="6" t="n">
        <v>0.07366485744507763</v>
      </c>
      <c r="Y8" s="6" t="n">
        <v>0.1447542799193284</v>
      </c>
      <c r="Z8" s="6" t="n">
        <v>0.215649930983233</v>
      </c>
      <c r="AA8" s="6" t="n">
        <v>0.2954788625300485</v>
      </c>
      <c r="AB8" s="6" t="n">
        <v>0.4370832988133547</v>
      </c>
      <c r="AC8" s="6" t="n">
        <v>0.5823734017213374</v>
      </c>
      <c r="AD8" s="6" t="n">
        <v>0.7036502680521375</v>
      </c>
      <c r="AE8" s="6" t="n">
        <v>0.8308091239526769</v>
      </c>
      <c r="AF8" s="6" t="n">
        <v>0.9430021166242568</v>
      </c>
      <c r="AG8" s="6" t="n">
        <v>1.062112512936343</v>
      </c>
      <c r="AH8" s="6" t="n">
        <v>1.164130743198015</v>
      </c>
      <c r="AI8" s="25" t="n">
        <v>1.256608419059539</v>
      </c>
      <c r="AJ8" s="25" t="n">
        <v>1.329605944493998</v>
      </c>
      <c r="AK8" s="26" t="n">
        <v>1.378554269530238</v>
      </c>
      <c r="AM8" s="5" t="n"/>
      <c r="AN8" s="6" t="n">
        <v>0.0065</v>
      </c>
      <c r="AO8" s="6" t="n">
        <v>0.01787531642024791</v>
      </c>
      <c r="AP8" s="6" t="n">
        <v>0.03949638783546996</v>
      </c>
      <c r="AQ8" s="6" t="n">
        <v>0.07201579357302376</v>
      </c>
      <c r="AR8" s="6" t="n">
        <v>0.1416964149339535</v>
      </c>
      <c r="AS8" s="6" t="n">
        <v>0.2120430483986443</v>
      </c>
      <c r="AT8" s="6" t="n">
        <v>0.2926156079850306</v>
      </c>
      <c r="AU8" s="6" t="n">
        <v>0.4338271317270664</v>
      </c>
      <c r="AV8" s="6" t="n">
        <v>0.5756013988195767</v>
      </c>
      <c r="AW8" s="6" t="n">
        <v>0.6951584536593651</v>
      </c>
      <c r="AX8" s="6" t="n">
        <v>0.8181523852925197</v>
      </c>
      <c r="AY8" s="6" t="n">
        <v>0.9246672763099772</v>
      </c>
      <c r="AZ8" s="6" t="n">
        <v>1.035968457476649</v>
      </c>
      <c r="BA8" s="6" t="n">
        <v>1.129118060000544</v>
      </c>
      <c r="BB8" s="25" t="n">
        <v>1.195598842972539</v>
      </c>
      <c r="BC8" s="25" t="n">
        <v>1.240488144985963</v>
      </c>
      <c r="BD8" s="26" t="n">
        <v>1.273421458569661</v>
      </c>
    </row>
    <row r="10" ht="15" customHeight="1">
      <c r="A10" s="31" t="inlineStr">
        <is>
          <t>Channel_B-整体</t>
        </is>
      </c>
      <c r="B10" s="52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39" t="n"/>
      <c r="T10" s="31" t="inlineStr">
        <is>
          <t>Channel_B-新用户</t>
        </is>
      </c>
      <c r="U10" s="52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39" t="n"/>
      <c r="AM10" s="31" t="inlineStr">
        <is>
          <t>Channel_B-老用户</t>
        </is>
      </c>
      <c r="AN10" s="52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39" t="n"/>
    </row>
    <row r="11" ht="15" customHeight="1">
      <c r="A11" s="2" t="inlineStr">
        <is>
          <t>倍率</t>
        </is>
      </c>
      <c r="B11" s="47" t="inlineStr">
        <is>
          <t>首日</t>
        </is>
      </c>
      <c r="C11" s="47" t="inlineStr">
        <is>
          <t>3日</t>
        </is>
      </c>
      <c r="D11" s="47" t="inlineStr">
        <is>
          <t>7日</t>
        </is>
      </c>
      <c r="E11" s="47" t="inlineStr">
        <is>
          <t>15日</t>
        </is>
      </c>
      <c r="F11" s="47" t="inlineStr">
        <is>
          <t>30日</t>
        </is>
      </c>
      <c r="G11" s="47" t="inlineStr">
        <is>
          <t>45日</t>
        </is>
      </c>
      <c r="H11" s="47" t="inlineStr">
        <is>
          <t>60日</t>
        </is>
      </c>
      <c r="I11" s="47" t="inlineStr">
        <is>
          <t>90日</t>
        </is>
      </c>
      <c r="J11" s="47" t="inlineStr">
        <is>
          <t>120日</t>
        </is>
      </c>
      <c r="K11" s="47" t="inlineStr">
        <is>
          <t>150日</t>
        </is>
      </c>
      <c r="L11" s="47" t="inlineStr">
        <is>
          <t>180日</t>
        </is>
      </c>
      <c r="M11" s="47" t="inlineStr">
        <is>
          <t>210日</t>
        </is>
      </c>
      <c r="N11" s="47" t="inlineStr">
        <is>
          <t>240日</t>
        </is>
      </c>
      <c r="O11" s="47" t="inlineStr">
        <is>
          <t>270日</t>
        </is>
      </c>
      <c r="P11" s="47" t="inlineStr">
        <is>
          <t>300日</t>
        </is>
      </c>
      <c r="Q11" s="47" t="inlineStr">
        <is>
          <t>330日</t>
        </is>
      </c>
      <c r="R11" s="3" t="inlineStr">
        <is>
          <t>360日</t>
        </is>
      </c>
      <c r="T11" s="2" t="inlineStr">
        <is>
          <t>倍率</t>
        </is>
      </c>
      <c r="U11" s="47" t="inlineStr">
        <is>
          <t>首日</t>
        </is>
      </c>
      <c r="V11" s="47" t="inlineStr">
        <is>
          <t>3日</t>
        </is>
      </c>
      <c r="W11" s="47" t="inlineStr">
        <is>
          <t>7日</t>
        </is>
      </c>
      <c r="X11" s="47" t="inlineStr">
        <is>
          <t>15日</t>
        </is>
      </c>
      <c r="Y11" s="47" t="inlineStr">
        <is>
          <t>30日</t>
        </is>
      </c>
      <c r="Z11" s="47" t="inlineStr">
        <is>
          <t>45日</t>
        </is>
      </c>
      <c r="AA11" s="47" t="inlineStr">
        <is>
          <t>60日</t>
        </is>
      </c>
      <c r="AB11" s="47" t="inlineStr">
        <is>
          <t>90日</t>
        </is>
      </c>
      <c r="AC11" s="47" t="inlineStr">
        <is>
          <t>120日</t>
        </is>
      </c>
      <c r="AD11" s="47" t="inlineStr">
        <is>
          <t>150日</t>
        </is>
      </c>
      <c r="AE11" s="47" t="inlineStr">
        <is>
          <t>180日</t>
        </is>
      </c>
      <c r="AF11" s="47" t="inlineStr">
        <is>
          <t>210日</t>
        </is>
      </c>
      <c r="AG11" s="47" t="inlineStr">
        <is>
          <t>240日</t>
        </is>
      </c>
      <c r="AH11" s="47" t="inlineStr">
        <is>
          <t>270日</t>
        </is>
      </c>
      <c r="AI11" s="47" t="inlineStr">
        <is>
          <t>300日</t>
        </is>
      </c>
      <c r="AJ11" s="47" t="inlineStr">
        <is>
          <t>330日</t>
        </is>
      </c>
      <c r="AK11" s="3" t="inlineStr">
        <is>
          <t>360日</t>
        </is>
      </c>
      <c r="AM11" s="2" t="inlineStr">
        <is>
          <t>倍率</t>
        </is>
      </c>
      <c r="AN11" s="47" t="inlineStr">
        <is>
          <t>首日</t>
        </is>
      </c>
      <c r="AO11" s="47" t="inlineStr">
        <is>
          <t>3日</t>
        </is>
      </c>
      <c r="AP11" s="47" t="inlineStr">
        <is>
          <t>7日</t>
        </is>
      </c>
      <c r="AQ11" s="47" t="inlineStr">
        <is>
          <t>15日</t>
        </is>
      </c>
      <c r="AR11" s="47" t="inlineStr">
        <is>
          <t>30日</t>
        </is>
      </c>
      <c r="AS11" s="47" t="inlineStr">
        <is>
          <t>45日</t>
        </is>
      </c>
      <c r="AT11" s="47" t="inlineStr">
        <is>
          <t>60日</t>
        </is>
      </c>
      <c r="AU11" s="47" t="inlineStr">
        <is>
          <t>90日</t>
        </is>
      </c>
      <c r="AV11" s="47" t="inlineStr">
        <is>
          <t>120日</t>
        </is>
      </c>
      <c r="AW11" s="47" t="inlineStr">
        <is>
          <t>150日</t>
        </is>
      </c>
      <c r="AX11" s="47" t="inlineStr">
        <is>
          <t>180日</t>
        </is>
      </c>
      <c r="AY11" s="47" t="inlineStr">
        <is>
          <t>210日</t>
        </is>
      </c>
      <c r="AZ11" s="47" t="inlineStr">
        <is>
          <t>240日</t>
        </is>
      </c>
      <c r="BA11" s="47" t="inlineStr">
        <is>
          <t>270日</t>
        </is>
      </c>
      <c r="BB11" s="47" t="inlineStr">
        <is>
          <t>300日</t>
        </is>
      </c>
      <c r="BC11" s="47" t="inlineStr">
        <is>
          <t>330日</t>
        </is>
      </c>
      <c r="BD11" s="3" t="inlineStr">
        <is>
          <t>360日</t>
        </is>
      </c>
    </row>
    <row r="12" ht="15" customHeight="1">
      <c r="A12" s="2" t="n"/>
      <c r="B12" s="53" t="n">
        <v>1</v>
      </c>
      <c r="C12" s="53" t="n">
        <v>2.826028469603503</v>
      </c>
      <c r="D12" s="53" t="n">
        <v>6.203588960051088</v>
      </c>
      <c r="E12" s="53" t="n">
        <v>11.01194591756872</v>
      </c>
      <c r="F12" s="53" t="n">
        <v>20.35285428049412</v>
      </c>
      <c r="G12" s="53" t="n">
        <v>29.50377395843159</v>
      </c>
      <c r="H12" s="53" t="n">
        <v>39.70982219271031</v>
      </c>
      <c r="I12" s="53" t="n">
        <v>57.6026232612903</v>
      </c>
      <c r="J12" s="53" t="n">
        <v>73.36828200634704</v>
      </c>
      <c r="K12" s="53" t="n">
        <v>86.24662476926837</v>
      </c>
      <c r="L12" s="53" t="n">
        <v>99.67438206596881</v>
      </c>
      <c r="M12" s="53" t="n">
        <v>111.8163665027432</v>
      </c>
      <c r="N12" s="53" t="n">
        <v>125.5522236845754</v>
      </c>
      <c r="O12" s="53" t="n">
        <v>136.0541615764312</v>
      </c>
      <c r="P12" s="54" t="n">
        <v>144.0648271645762</v>
      </c>
      <c r="Q12" s="54" t="n">
        <v>149.4738065844826</v>
      </c>
      <c r="R12" s="55" t="n">
        <v>153.4421377327432</v>
      </c>
      <c r="T12" s="2" t="n"/>
      <c r="U12" s="53" t="n">
        <v>1</v>
      </c>
      <c r="V12" s="53" t="n">
        <v>2.877064154844241</v>
      </c>
      <c r="W12" s="53" t="n">
        <v>6.340619599250002</v>
      </c>
      <c r="X12" s="53" t="n">
        <v>11.40479473140411</v>
      </c>
      <c r="Y12" s="53" t="n">
        <v>21.24355544721872</v>
      </c>
      <c r="Z12" s="53" t="n">
        <v>31.06693103547423</v>
      </c>
      <c r="AA12" s="53" t="n">
        <v>42.22846819065168</v>
      </c>
      <c r="AB12" s="53" t="n">
        <v>61.74959804403356</v>
      </c>
      <c r="AC12" s="53" t="n">
        <v>78.55996726756132</v>
      </c>
      <c r="AD12" s="53" t="n">
        <v>92.15146757702507</v>
      </c>
      <c r="AE12" s="53" t="n">
        <v>106.2611999250777</v>
      </c>
      <c r="AF12" s="53" t="n">
        <v>119.4902550016601</v>
      </c>
      <c r="AG12" s="53" t="n">
        <v>134.643029854056</v>
      </c>
      <c r="AH12" s="53" t="n">
        <v>146.3676333534715</v>
      </c>
      <c r="AI12" s="54" t="n">
        <v>154.9855407378348</v>
      </c>
      <c r="AJ12" s="54" t="n">
        <v>160.8045433128098</v>
      </c>
      <c r="AK12" s="55" t="n">
        <v>165.0736904804066</v>
      </c>
      <c r="AM12" s="2" t="n"/>
      <c r="AN12" s="53" t="n">
        <v>1</v>
      </c>
      <c r="AO12" s="53" t="n">
        <v>2.710839448503353</v>
      </c>
      <c r="AP12" s="53" t="n">
        <v>5.795658847151425</v>
      </c>
      <c r="AQ12" s="53" t="n">
        <v>9.967306206318023</v>
      </c>
      <c r="AR12" s="53" t="n">
        <v>17.72414027584531</v>
      </c>
      <c r="AS12" s="53" t="n">
        <v>25.13225531367319</v>
      </c>
      <c r="AT12" s="53" t="n">
        <v>32.63538869656359</v>
      </c>
      <c r="AU12" s="53" t="n">
        <v>46.64169347457009</v>
      </c>
      <c r="AV12" s="53" t="n">
        <v>59.31180914874196</v>
      </c>
      <c r="AW12" s="53" t="n">
        <v>70.01613975235082</v>
      </c>
      <c r="AX12" s="53" t="n">
        <v>81.3279708305339</v>
      </c>
      <c r="AY12" s="53" t="n">
        <v>89.82729230520084</v>
      </c>
      <c r="AZ12" s="53" t="n">
        <v>97.61993024608742</v>
      </c>
      <c r="BA12" s="53" t="n">
        <v>102.1559391718121</v>
      </c>
      <c r="BB12" s="54" t="n">
        <v>105.0201243822367</v>
      </c>
      <c r="BC12" s="54" t="n">
        <v>107.8843095926614</v>
      </c>
      <c r="BD12" s="55" t="n">
        <v>110.748494803086</v>
      </c>
    </row>
    <row r="13" ht="15" customHeight="1">
      <c r="A13" s="2" t="n"/>
      <c r="B13" s="47" t="n"/>
      <c r="C13" s="47" t="n"/>
      <c r="D13" s="47" t="n"/>
      <c r="E13" s="47" t="n"/>
      <c r="F13" s="47" t="n"/>
      <c r="G13" s="47" t="n"/>
      <c r="H13" s="47" t="n"/>
      <c r="I13" s="47" t="n"/>
      <c r="J13" s="47" t="n"/>
      <c r="K13" s="47" t="n"/>
      <c r="L13" s="47" t="n"/>
      <c r="M13" s="47" t="n"/>
      <c r="N13" s="47" t="n"/>
      <c r="O13" s="47" t="n"/>
      <c r="P13" s="47" t="n"/>
      <c r="Q13" s="47" t="n"/>
      <c r="R13" s="3" t="n"/>
      <c r="T13" s="2" t="n"/>
      <c r="U13" s="47" t="n"/>
      <c r="V13" s="47" t="n"/>
      <c r="W13" s="47" t="n"/>
      <c r="X13" s="47" t="n"/>
      <c r="Y13" s="47" t="n"/>
      <c r="Z13" s="47" t="n"/>
      <c r="AA13" s="47" t="n"/>
      <c r="AB13" s="47" t="n"/>
      <c r="AC13" s="47" t="n"/>
      <c r="AD13" s="47" t="n"/>
      <c r="AE13" s="47" t="n"/>
      <c r="AF13" s="47" t="n"/>
      <c r="AG13" s="47" t="n"/>
      <c r="AH13" s="47" t="n"/>
      <c r="AI13" s="47" t="n"/>
      <c r="AJ13" s="47" t="n"/>
      <c r="AK13" s="3" t="n"/>
      <c r="AM13" s="2" t="n"/>
      <c r="AN13" s="47" t="n"/>
      <c r="AO13" s="47" t="n"/>
      <c r="AP13" s="47" t="n"/>
      <c r="AQ13" s="47" t="n"/>
      <c r="AR13" s="47" t="n"/>
      <c r="AS13" s="47" t="n"/>
      <c r="AT13" s="47" t="n"/>
      <c r="AU13" s="47" t="n"/>
      <c r="AV13" s="47" t="n"/>
      <c r="AW13" s="47" t="n"/>
      <c r="AX13" s="47" t="n"/>
      <c r="AY13" s="47" t="n"/>
      <c r="AZ13" s="47" t="n"/>
      <c r="BA13" s="47" t="n"/>
      <c r="BB13" s="47" t="n"/>
      <c r="BC13" s="47" t="n"/>
      <c r="BD13" s="3" t="n"/>
    </row>
    <row r="14" ht="15" customHeight="1">
      <c r="A14" s="2" t="inlineStr">
        <is>
          <t>模型</t>
        </is>
      </c>
      <c r="B14" s="47" t="inlineStr">
        <is>
          <t>首日</t>
        </is>
      </c>
      <c r="C14" s="47" t="inlineStr">
        <is>
          <t>3日</t>
        </is>
      </c>
      <c r="D14" s="47" t="inlineStr">
        <is>
          <t>7日</t>
        </is>
      </c>
      <c r="E14" s="47" t="inlineStr">
        <is>
          <t>15日</t>
        </is>
      </c>
      <c r="F14" s="47" t="inlineStr">
        <is>
          <t>30日</t>
        </is>
      </c>
      <c r="G14" s="47" t="inlineStr">
        <is>
          <t>45日</t>
        </is>
      </c>
      <c r="H14" s="47" t="inlineStr">
        <is>
          <t>60日</t>
        </is>
      </c>
      <c r="I14" s="47" t="inlineStr">
        <is>
          <t>90日</t>
        </is>
      </c>
      <c r="J14" s="47" t="inlineStr">
        <is>
          <t>120日</t>
        </is>
      </c>
      <c r="K14" s="47" t="inlineStr">
        <is>
          <t>150日</t>
        </is>
      </c>
      <c r="L14" s="47" t="inlineStr">
        <is>
          <t>180日</t>
        </is>
      </c>
      <c r="M14" s="47" t="inlineStr">
        <is>
          <t>210日</t>
        </is>
      </c>
      <c r="N14" s="47" t="inlineStr">
        <is>
          <t>240日</t>
        </is>
      </c>
      <c r="O14" s="47" t="inlineStr">
        <is>
          <t>270日</t>
        </is>
      </c>
      <c r="P14" s="47" t="inlineStr">
        <is>
          <t>300日</t>
        </is>
      </c>
      <c r="Q14" s="47" t="inlineStr">
        <is>
          <t>330日</t>
        </is>
      </c>
      <c r="R14" s="3" t="inlineStr">
        <is>
          <t>360日</t>
        </is>
      </c>
      <c r="T14" s="2" t="inlineStr">
        <is>
          <t>模型</t>
        </is>
      </c>
      <c r="U14" s="47" t="inlineStr">
        <is>
          <t>首日</t>
        </is>
      </c>
      <c r="V14" s="47" t="inlineStr">
        <is>
          <t>3日</t>
        </is>
      </c>
      <c r="W14" s="47" t="inlineStr">
        <is>
          <t>7日</t>
        </is>
      </c>
      <c r="X14" s="47" t="inlineStr">
        <is>
          <t>15日</t>
        </is>
      </c>
      <c r="Y14" s="47" t="inlineStr">
        <is>
          <t>30日</t>
        </is>
      </c>
      <c r="Z14" s="47" t="inlineStr">
        <is>
          <t>45日</t>
        </is>
      </c>
      <c r="AA14" s="47" t="inlineStr">
        <is>
          <t>60日</t>
        </is>
      </c>
      <c r="AB14" s="47" t="inlineStr">
        <is>
          <t>90日</t>
        </is>
      </c>
      <c r="AC14" s="47" t="inlineStr">
        <is>
          <t>120日</t>
        </is>
      </c>
      <c r="AD14" s="47" t="inlineStr">
        <is>
          <t>150日</t>
        </is>
      </c>
      <c r="AE14" s="47" t="inlineStr">
        <is>
          <t>180日</t>
        </is>
      </c>
      <c r="AF14" s="47" t="inlineStr">
        <is>
          <t>210日</t>
        </is>
      </c>
      <c r="AG14" s="47" t="inlineStr">
        <is>
          <t>240日</t>
        </is>
      </c>
      <c r="AH14" s="47" t="inlineStr">
        <is>
          <t>270日</t>
        </is>
      </c>
      <c r="AI14" s="47" t="inlineStr">
        <is>
          <t>300日</t>
        </is>
      </c>
      <c r="AJ14" s="47" t="inlineStr">
        <is>
          <t>330日</t>
        </is>
      </c>
      <c r="AK14" s="3" t="inlineStr">
        <is>
          <t>360日</t>
        </is>
      </c>
      <c r="AM14" s="2" t="inlineStr">
        <is>
          <t>模型</t>
        </is>
      </c>
      <c r="AN14" s="47" t="inlineStr">
        <is>
          <t>首日</t>
        </is>
      </c>
      <c r="AO14" s="47" t="inlineStr">
        <is>
          <t>3日</t>
        </is>
      </c>
      <c r="AP14" s="47" t="inlineStr">
        <is>
          <t>7日</t>
        </is>
      </c>
      <c r="AQ14" s="47" t="inlineStr">
        <is>
          <t>15日</t>
        </is>
      </c>
      <c r="AR14" s="47" t="inlineStr">
        <is>
          <t>30日</t>
        </is>
      </c>
      <c r="AS14" s="47" t="inlineStr">
        <is>
          <t>45日</t>
        </is>
      </c>
      <c r="AT14" s="47" t="inlineStr">
        <is>
          <t>60日</t>
        </is>
      </c>
      <c r="AU14" s="47" t="inlineStr">
        <is>
          <t>90日</t>
        </is>
      </c>
      <c r="AV14" s="47" t="inlineStr">
        <is>
          <t>120日</t>
        </is>
      </c>
      <c r="AW14" s="47" t="inlineStr">
        <is>
          <t>150日</t>
        </is>
      </c>
      <c r="AX14" s="47" t="inlineStr">
        <is>
          <t>180日</t>
        </is>
      </c>
      <c r="AY14" s="47" t="inlineStr">
        <is>
          <t>210日</t>
        </is>
      </c>
      <c r="AZ14" s="47" t="inlineStr">
        <is>
          <t>240日</t>
        </is>
      </c>
      <c r="BA14" s="47" t="inlineStr">
        <is>
          <t>270日</t>
        </is>
      </c>
      <c r="BB14" s="47" t="inlineStr">
        <is>
          <t>300日</t>
        </is>
      </c>
      <c r="BC14" s="47" t="inlineStr">
        <is>
          <t>330日</t>
        </is>
      </c>
      <c r="BD14" s="3" t="inlineStr">
        <is>
          <t>360日</t>
        </is>
      </c>
    </row>
    <row r="15" ht="15" customHeight="1">
      <c r="A15" s="2" t="n"/>
      <c r="B15" s="50" t="n">
        <v>0.011</v>
      </c>
      <c r="C15" s="50" t="n">
        <v>0.03108631316563853</v>
      </c>
      <c r="D15" s="50" t="n">
        <v>0.06823947856056196</v>
      </c>
      <c r="E15" s="50" t="n">
        <v>0.1211314050932559</v>
      </c>
      <c r="F15" s="50" t="n">
        <v>0.2238813970854353</v>
      </c>
      <c r="G15" s="50" t="n">
        <v>0.3245415135427475</v>
      </c>
      <c r="H15" s="50" t="n">
        <v>0.4368080441198134</v>
      </c>
      <c r="I15" s="50" t="n">
        <v>0.6336288558741933</v>
      </c>
      <c r="J15" s="50" t="n">
        <v>0.8070511020698173</v>
      </c>
      <c r="K15" s="50" t="n">
        <v>0.948712872461952</v>
      </c>
      <c r="L15" s="50" t="n">
        <v>1.096418202725657</v>
      </c>
      <c r="M15" s="50" t="n">
        <v>1.229980031530175</v>
      </c>
      <c r="N15" s="50" t="n">
        <v>1.381074460530329</v>
      </c>
      <c r="O15" s="50" t="n">
        <v>1.496595777340743</v>
      </c>
      <c r="P15" s="51" t="n">
        <v>1.584713098810338</v>
      </c>
      <c r="Q15" s="51" t="n">
        <v>1.644211872429308</v>
      </c>
      <c r="R15" s="24" t="n">
        <v>1.687863515060175</v>
      </c>
      <c r="T15" s="2" t="n"/>
      <c r="U15" s="50" t="n">
        <v>0.011</v>
      </c>
      <c r="V15" s="50" t="n">
        <v>0.03164770570328664</v>
      </c>
      <c r="W15" s="50" t="n">
        <v>0.06974681559175001</v>
      </c>
      <c r="X15" s="50" t="n">
        <v>0.1254527420454452</v>
      </c>
      <c r="Y15" s="50" t="n">
        <v>0.2336791099194059</v>
      </c>
      <c r="Z15" s="50" t="n">
        <v>0.3417362413902165</v>
      </c>
      <c r="AA15" s="50" t="n">
        <v>0.4645131500971685</v>
      </c>
      <c r="AB15" s="50" t="n">
        <v>0.6792455784843692</v>
      </c>
      <c r="AC15" s="50" t="n">
        <v>0.8641596399431745</v>
      </c>
      <c r="AD15" s="50" t="n">
        <v>1.013666143347276</v>
      </c>
      <c r="AE15" s="50" t="n">
        <v>1.168873199175855</v>
      </c>
      <c r="AF15" s="50" t="n">
        <v>1.314392805018261</v>
      </c>
      <c r="AG15" s="50" t="n">
        <v>1.481073328394616</v>
      </c>
      <c r="AH15" s="50" t="n">
        <v>1.610043966888186</v>
      </c>
      <c r="AI15" s="51" t="n">
        <v>1.704840948116182</v>
      </c>
      <c r="AJ15" s="51" t="n">
        <v>1.768849976440908</v>
      </c>
      <c r="AK15" s="24" t="n">
        <v>1.815810595284472</v>
      </c>
      <c r="AM15" s="2" t="n"/>
      <c r="AN15" s="50" t="n">
        <v>0.015</v>
      </c>
      <c r="AO15" s="50" t="n">
        <v>0.0406625917275503</v>
      </c>
      <c r="AP15" s="50" t="n">
        <v>0.08693488270727139</v>
      </c>
      <c r="AQ15" s="50" t="n">
        <v>0.1495095930947703</v>
      </c>
      <c r="AR15" s="50" t="n">
        <v>0.2658621041376797</v>
      </c>
      <c r="AS15" s="50" t="n">
        <v>0.3769838297050978</v>
      </c>
      <c r="AT15" s="50" t="n">
        <v>0.4895308304484537</v>
      </c>
      <c r="AU15" s="50" t="n">
        <v>0.6996254021185514</v>
      </c>
      <c r="AV15" s="50" t="n">
        <v>0.8896771372311294</v>
      </c>
      <c r="AW15" s="50" t="n">
        <v>1.050242096285262</v>
      </c>
      <c r="AX15" s="50" t="n">
        <v>1.219919562458008</v>
      </c>
      <c r="AY15" s="50" t="n">
        <v>1.347409384578013</v>
      </c>
      <c r="AZ15" s="50" t="n">
        <v>1.464298953691311</v>
      </c>
      <c r="BA15" s="50" t="n">
        <v>1.532339087577181</v>
      </c>
      <c r="BB15" s="51" t="n">
        <v>1.575301865733551</v>
      </c>
      <c r="BC15" s="51" t="n">
        <v>1.61826464388992</v>
      </c>
      <c r="BD15" s="24" t="n">
        <v>1.66122742204629</v>
      </c>
    </row>
    <row r="16" ht="15" customHeight="1">
      <c r="A16" s="2" t="n"/>
      <c r="B16" s="50" t="n">
        <v>0.01</v>
      </c>
      <c r="C16" s="50" t="n">
        <v>0.02826028469603503</v>
      </c>
      <c r="D16" s="50" t="n">
        <v>0.06203588960051088</v>
      </c>
      <c r="E16" s="50" t="n">
        <v>0.1101194591756871</v>
      </c>
      <c r="F16" s="50" t="n">
        <v>0.2035285428049412</v>
      </c>
      <c r="G16" s="50" t="n">
        <v>0.2950377395843159</v>
      </c>
      <c r="H16" s="50" t="n">
        <v>0.3970982219271031</v>
      </c>
      <c r="I16" s="50" t="n">
        <v>0.5760262326129031</v>
      </c>
      <c r="J16" s="50" t="n">
        <v>0.7336828200634704</v>
      </c>
      <c r="K16" s="50" t="n">
        <v>0.8624662476926837</v>
      </c>
      <c r="L16" s="50" t="n">
        <v>0.9967438206596881</v>
      </c>
      <c r="M16" s="50" t="n">
        <v>1.118163665027432</v>
      </c>
      <c r="N16" s="50" t="n">
        <v>1.255522236845754</v>
      </c>
      <c r="O16" s="50" t="n">
        <v>1.360541615764312</v>
      </c>
      <c r="P16" s="51" t="n">
        <v>1.440648271645762</v>
      </c>
      <c r="Q16" s="51" t="n">
        <v>1.494738065844826</v>
      </c>
      <c r="R16" s="24" t="n">
        <v>1.534421377327432</v>
      </c>
      <c r="T16" s="2" t="n"/>
      <c r="U16" s="50" t="n">
        <v>0.01</v>
      </c>
      <c r="V16" s="50" t="n">
        <v>0.02877064154844241</v>
      </c>
      <c r="W16" s="50" t="n">
        <v>0.06340619599250003</v>
      </c>
      <c r="X16" s="50" t="n">
        <v>0.1140479473140411</v>
      </c>
      <c r="Y16" s="50" t="n">
        <v>0.2124355544721872</v>
      </c>
      <c r="Z16" s="50" t="n">
        <v>0.3106693103547423</v>
      </c>
      <c r="AA16" s="50" t="n">
        <v>0.4222846819065169</v>
      </c>
      <c r="AB16" s="50" t="n">
        <v>0.6174959804403356</v>
      </c>
      <c r="AC16" s="50" t="n">
        <v>0.7855996726756133</v>
      </c>
      <c r="AD16" s="50" t="n">
        <v>0.9215146757702507</v>
      </c>
      <c r="AE16" s="50" t="n">
        <v>1.062611999250777</v>
      </c>
      <c r="AF16" s="50" t="n">
        <v>1.194902550016601</v>
      </c>
      <c r="AG16" s="50" t="n">
        <v>1.346430298540561</v>
      </c>
      <c r="AH16" s="50" t="n">
        <v>1.463676333534715</v>
      </c>
      <c r="AI16" s="51" t="n">
        <v>1.549855407378348</v>
      </c>
      <c r="AJ16" s="51" t="n">
        <v>1.608045433128098</v>
      </c>
      <c r="AK16" s="24" t="n">
        <v>1.650736904804066</v>
      </c>
      <c r="AM16" s="2" t="n"/>
      <c r="AN16" s="50" t="n">
        <v>0.014</v>
      </c>
      <c r="AO16" s="50" t="n">
        <v>0.03795175227904694</v>
      </c>
      <c r="AP16" s="50" t="n">
        <v>0.08113922386011996</v>
      </c>
      <c r="AQ16" s="50" t="n">
        <v>0.1395422868884523</v>
      </c>
      <c r="AR16" s="50" t="n">
        <v>0.2481379638618344</v>
      </c>
      <c r="AS16" s="50" t="n">
        <v>0.3518515743914246</v>
      </c>
      <c r="AT16" s="50" t="n">
        <v>0.4568954417518902</v>
      </c>
      <c r="AU16" s="50" t="n">
        <v>0.6529837086439813</v>
      </c>
      <c r="AV16" s="50" t="n">
        <v>0.8303653280823875</v>
      </c>
      <c r="AW16" s="50" t="n">
        <v>0.9802259565329116</v>
      </c>
      <c r="AX16" s="50" t="n">
        <v>1.138591591627475</v>
      </c>
      <c r="AY16" s="50" t="n">
        <v>1.257582092272812</v>
      </c>
      <c r="AZ16" s="50" t="n">
        <v>1.366679023445224</v>
      </c>
      <c r="BA16" s="50" t="n">
        <v>1.430183148405369</v>
      </c>
      <c r="BB16" s="51" t="n">
        <v>1.470281741351314</v>
      </c>
      <c r="BC16" s="51" t="n">
        <v>1.510380334297259</v>
      </c>
      <c r="BD16" s="24" t="n">
        <v>1.550478927243204</v>
      </c>
    </row>
    <row r="17" ht="15" customHeight="1">
      <c r="A17" s="5" t="n"/>
      <c r="B17" s="6" t="n">
        <v>0.008999999999999999</v>
      </c>
      <c r="C17" s="6" t="n">
        <v>0.02543425622643153</v>
      </c>
      <c r="D17" s="6" t="n">
        <v>0.05583230064045979</v>
      </c>
      <c r="E17" s="6" t="n">
        <v>0.09910751325811842</v>
      </c>
      <c r="F17" s="6" t="n">
        <v>0.1831756885244471</v>
      </c>
      <c r="G17" s="6" t="n">
        <v>0.2655339656258843</v>
      </c>
      <c r="H17" s="6" t="n">
        <v>0.3573883997343927</v>
      </c>
      <c r="I17" s="6" t="n">
        <v>0.5184236093516127</v>
      </c>
      <c r="J17" s="6" t="n">
        <v>0.6603145380571234</v>
      </c>
      <c r="K17" s="6" t="n">
        <v>0.7762196229234153</v>
      </c>
      <c r="L17" s="6" t="n">
        <v>0.8970694385937193</v>
      </c>
      <c r="M17" s="6" t="n">
        <v>1.006347298524688</v>
      </c>
      <c r="N17" s="6" t="n">
        <v>1.129970013161179</v>
      </c>
      <c r="O17" s="6" t="n">
        <v>1.224487454187881</v>
      </c>
      <c r="P17" s="25" t="n">
        <v>1.296583444481186</v>
      </c>
      <c r="Q17" s="25" t="n">
        <v>1.345264259260343</v>
      </c>
      <c r="R17" s="26" t="n">
        <v>1.380979239594689</v>
      </c>
      <c r="T17" s="5" t="n"/>
      <c r="U17" s="6" t="n">
        <v>0.008999999999999999</v>
      </c>
      <c r="V17" s="6" t="n">
        <v>0.02589357739359817</v>
      </c>
      <c r="W17" s="6" t="n">
        <v>0.05706557639325002</v>
      </c>
      <c r="X17" s="6" t="n">
        <v>0.102643152582637</v>
      </c>
      <c r="Y17" s="6" t="n">
        <v>0.1911919990249685</v>
      </c>
      <c r="Z17" s="6" t="n">
        <v>0.2796023793192681</v>
      </c>
      <c r="AA17" s="6" t="n">
        <v>0.3800562137158652</v>
      </c>
      <c r="AB17" s="6" t="n">
        <v>0.555746382396302</v>
      </c>
      <c r="AC17" s="6" t="n">
        <v>0.7070397054080518</v>
      </c>
      <c r="AD17" s="6" t="n">
        <v>0.8293632081932255</v>
      </c>
      <c r="AE17" s="6" t="n">
        <v>0.9563507993256992</v>
      </c>
      <c r="AF17" s="6" t="n">
        <v>1.075412295014941</v>
      </c>
      <c r="AG17" s="6" t="n">
        <v>1.211787268686504</v>
      </c>
      <c r="AH17" s="6" t="n">
        <v>1.317308700181243</v>
      </c>
      <c r="AI17" s="25" t="n">
        <v>1.394869866640513</v>
      </c>
      <c r="AJ17" s="25" t="n">
        <v>1.447240889815288</v>
      </c>
      <c r="AK17" s="26" t="n">
        <v>1.485663214323659</v>
      </c>
      <c r="AM17" s="5" t="n"/>
      <c r="AN17" s="6" t="n">
        <v>0.013</v>
      </c>
      <c r="AO17" s="6" t="n">
        <v>0.03524091283054359</v>
      </c>
      <c r="AP17" s="6" t="n">
        <v>0.07534356501296853</v>
      </c>
      <c r="AQ17" s="6" t="n">
        <v>0.1295749806821343</v>
      </c>
      <c r="AR17" s="6" t="n">
        <v>0.2304138235859891</v>
      </c>
      <c r="AS17" s="6" t="n">
        <v>0.3267193190777514</v>
      </c>
      <c r="AT17" s="6" t="n">
        <v>0.4242600530553266</v>
      </c>
      <c r="AU17" s="6" t="n">
        <v>0.6063420151694111</v>
      </c>
      <c r="AV17" s="6" t="n">
        <v>0.7710535189336455</v>
      </c>
      <c r="AW17" s="6" t="n">
        <v>0.9102098167805607</v>
      </c>
      <c r="AX17" s="6" t="n">
        <v>1.057263620796941</v>
      </c>
      <c r="AY17" s="6" t="n">
        <v>1.167754799967611</v>
      </c>
      <c r="AZ17" s="6" t="n">
        <v>1.269059093199136</v>
      </c>
      <c r="BA17" s="6" t="n">
        <v>1.328027209233557</v>
      </c>
      <c r="BB17" s="25" t="n">
        <v>1.365261616969077</v>
      </c>
      <c r="BC17" s="25" t="n">
        <v>1.402496024704598</v>
      </c>
      <c r="BD17" s="26" t="n">
        <v>1.439730432440118</v>
      </c>
    </row>
    <row r="19" ht="15" customHeight="1">
      <c r="A19" s="31" t="inlineStr">
        <is>
          <t>Channel_C-整体</t>
        </is>
      </c>
      <c r="B19" s="52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9" t="n"/>
      <c r="T19" s="31" t="inlineStr">
        <is>
          <t>Channel_C-新用户</t>
        </is>
      </c>
      <c r="U19" s="52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39" t="n"/>
      <c r="AM19" s="31" t="inlineStr">
        <is>
          <t>Channel_C-老用户</t>
        </is>
      </c>
      <c r="AN19" s="52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39" t="n"/>
    </row>
    <row r="20" ht="15" customHeight="1">
      <c r="A20" s="2" t="inlineStr">
        <is>
          <t>倍率</t>
        </is>
      </c>
      <c r="B20" s="47" t="inlineStr">
        <is>
          <t>首日</t>
        </is>
      </c>
      <c r="C20" s="47" t="inlineStr">
        <is>
          <t>3日</t>
        </is>
      </c>
      <c r="D20" s="47" t="inlineStr">
        <is>
          <t>7日</t>
        </is>
      </c>
      <c r="E20" s="47" t="inlineStr">
        <is>
          <t>15日</t>
        </is>
      </c>
      <c r="F20" s="47" t="inlineStr">
        <is>
          <t>30日</t>
        </is>
      </c>
      <c r="G20" s="47" t="inlineStr">
        <is>
          <t>45日</t>
        </is>
      </c>
      <c r="H20" s="47" t="inlineStr">
        <is>
          <t>60日</t>
        </is>
      </c>
      <c r="I20" s="47" t="inlineStr">
        <is>
          <t>90日</t>
        </is>
      </c>
      <c r="J20" s="47" t="inlineStr">
        <is>
          <t>120日</t>
        </is>
      </c>
      <c r="K20" s="47" t="inlineStr">
        <is>
          <t>150日</t>
        </is>
      </c>
      <c r="L20" s="47" t="inlineStr">
        <is>
          <t>180日</t>
        </is>
      </c>
      <c r="M20" s="47" t="inlineStr">
        <is>
          <t>210日</t>
        </is>
      </c>
      <c r="N20" s="47" t="inlineStr">
        <is>
          <t>240日</t>
        </is>
      </c>
      <c r="O20" s="47" t="inlineStr">
        <is>
          <t>270日</t>
        </is>
      </c>
      <c r="P20" s="47" t="inlineStr">
        <is>
          <t>300日</t>
        </is>
      </c>
      <c r="Q20" s="47" t="inlineStr">
        <is>
          <t>330日</t>
        </is>
      </c>
      <c r="R20" s="3" t="inlineStr">
        <is>
          <t>360日</t>
        </is>
      </c>
      <c r="T20" s="2" t="inlineStr">
        <is>
          <t>倍率</t>
        </is>
      </c>
      <c r="U20" s="47" t="inlineStr">
        <is>
          <t>首日</t>
        </is>
      </c>
      <c r="V20" s="47" t="inlineStr">
        <is>
          <t>3日</t>
        </is>
      </c>
      <c r="W20" s="47" t="inlineStr">
        <is>
          <t>7日</t>
        </is>
      </c>
      <c r="X20" s="47" t="inlineStr">
        <is>
          <t>15日</t>
        </is>
      </c>
      <c r="Y20" s="47" t="inlineStr">
        <is>
          <t>30日</t>
        </is>
      </c>
      <c r="Z20" s="47" t="inlineStr">
        <is>
          <t>45日</t>
        </is>
      </c>
      <c r="AA20" s="47" t="inlineStr">
        <is>
          <t>60日</t>
        </is>
      </c>
      <c r="AB20" s="47" t="inlineStr">
        <is>
          <t>90日</t>
        </is>
      </c>
      <c r="AC20" s="47" t="inlineStr">
        <is>
          <t>120日</t>
        </is>
      </c>
      <c r="AD20" s="47" t="inlineStr">
        <is>
          <t>150日</t>
        </is>
      </c>
      <c r="AE20" s="47" t="inlineStr">
        <is>
          <t>180日</t>
        </is>
      </c>
      <c r="AF20" s="47" t="inlineStr">
        <is>
          <t>210日</t>
        </is>
      </c>
      <c r="AG20" s="47" t="inlineStr">
        <is>
          <t>240日</t>
        </is>
      </c>
      <c r="AH20" s="47" t="inlineStr">
        <is>
          <t>270日</t>
        </is>
      </c>
      <c r="AI20" s="47" t="inlineStr">
        <is>
          <t>300日</t>
        </is>
      </c>
      <c r="AJ20" s="47" t="inlineStr">
        <is>
          <t>330日</t>
        </is>
      </c>
      <c r="AK20" s="3" t="inlineStr">
        <is>
          <t>360日</t>
        </is>
      </c>
      <c r="AM20" s="2" t="inlineStr">
        <is>
          <t>倍率</t>
        </is>
      </c>
      <c r="AN20" s="47" t="inlineStr">
        <is>
          <t>首日</t>
        </is>
      </c>
      <c r="AO20" s="47" t="inlineStr">
        <is>
          <t>3日</t>
        </is>
      </c>
      <c r="AP20" s="47" t="inlineStr">
        <is>
          <t>7日</t>
        </is>
      </c>
      <c r="AQ20" s="47" t="inlineStr">
        <is>
          <t>15日</t>
        </is>
      </c>
      <c r="AR20" s="47" t="inlineStr">
        <is>
          <t>30日</t>
        </is>
      </c>
      <c r="AS20" s="47" t="inlineStr">
        <is>
          <t>45日</t>
        </is>
      </c>
      <c r="AT20" s="47" t="inlineStr">
        <is>
          <t>60日</t>
        </is>
      </c>
      <c r="AU20" s="47" t="inlineStr">
        <is>
          <t>90日</t>
        </is>
      </c>
      <c r="AV20" s="47" t="inlineStr">
        <is>
          <t>120日</t>
        </is>
      </c>
      <c r="AW20" s="47" t="inlineStr">
        <is>
          <t>150日</t>
        </is>
      </c>
      <c r="AX20" s="47" t="inlineStr">
        <is>
          <t>180日</t>
        </is>
      </c>
      <c r="AY20" s="47" t="inlineStr">
        <is>
          <t>210日</t>
        </is>
      </c>
      <c r="AZ20" s="47" t="inlineStr">
        <is>
          <t>240日</t>
        </is>
      </c>
      <c r="BA20" s="47" t="inlineStr">
        <is>
          <t>270日</t>
        </is>
      </c>
      <c r="BB20" s="47" t="inlineStr">
        <is>
          <t>300日</t>
        </is>
      </c>
      <c r="BC20" s="47" t="inlineStr">
        <is>
          <t>330日</t>
        </is>
      </c>
      <c r="BD20" s="3" t="inlineStr">
        <is>
          <t>360日</t>
        </is>
      </c>
    </row>
    <row r="21" ht="15" customHeight="1">
      <c r="A21" s="2" t="n"/>
      <c r="B21" s="53" t="n">
        <v>1</v>
      </c>
      <c r="C21" s="53" t="n">
        <v>2.411537851307779</v>
      </c>
      <c r="D21" s="53" t="n">
        <v>4.852883362674368</v>
      </c>
      <c r="E21" s="53" t="n">
        <v>7.958397917101537</v>
      </c>
      <c r="F21" s="53" t="n">
        <v>14.27657505270457</v>
      </c>
      <c r="G21" s="53" t="n">
        <v>20.33998866470012</v>
      </c>
      <c r="H21" s="53" t="n">
        <v>26.82753959822236</v>
      </c>
      <c r="I21" s="53" t="n">
        <v>37.16316678602037</v>
      </c>
      <c r="J21" s="53" t="n">
        <v>47.56665008887677</v>
      </c>
      <c r="K21" s="53" t="n">
        <v>55.50439491841378</v>
      </c>
      <c r="L21" s="53" t="n">
        <v>63.09214199879712</v>
      </c>
      <c r="M21" s="53" t="n">
        <v>69.54498156704113</v>
      </c>
      <c r="N21" s="53" t="n">
        <v>76.68691277565713</v>
      </c>
      <c r="O21" s="53" t="n">
        <v>83.02055838215399</v>
      </c>
      <c r="P21" s="54" t="n">
        <v>87.90868471680419</v>
      </c>
      <c r="Q21" s="54" t="n">
        <v>91.20925624298965</v>
      </c>
      <c r="R21" s="55" t="n">
        <v>93.63074092200709</v>
      </c>
      <c r="T21" s="2" t="n"/>
      <c r="U21" s="53" t="n">
        <v>1</v>
      </c>
      <c r="V21" s="53" t="n">
        <v>2.434425226097016</v>
      </c>
      <c r="W21" s="53" t="n">
        <v>4.910711486555634</v>
      </c>
      <c r="X21" s="53" t="n">
        <v>8.07170446293893</v>
      </c>
      <c r="Y21" s="53" t="n">
        <v>14.5266042642605</v>
      </c>
      <c r="Z21" s="53" t="n">
        <v>20.72618674848725</v>
      </c>
      <c r="AA21" s="53" t="n">
        <v>27.28704137973576</v>
      </c>
      <c r="AB21" s="53" t="n">
        <v>37.74151774491305</v>
      </c>
      <c r="AC21" s="53" t="n">
        <v>48.38756322974717</v>
      </c>
      <c r="AD21" s="53" t="n">
        <v>56.5023559831517</v>
      </c>
      <c r="AE21" s="53" t="n">
        <v>64.25051519498645</v>
      </c>
      <c r="AF21" s="53" t="n">
        <v>70.84003629512242</v>
      </c>
      <c r="AG21" s="53" t="n">
        <v>78.18611633895981</v>
      </c>
      <c r="AH21" s="53" t="n">
        <v>84.70386933874339</v>
      </c>
      <c r="AI21" s="54" t="n">
        <v>89.69110650541707</v>
      </c>
      <c r="AJ21" s="54" t="n">
        <v>93.05859986784773</v>
      </c>
      <c r="AK21" s="55" t="n">
        <v>95.52918216522423</v>
      </c>
      <c r="AM21" s="2" t="n"/>
      <c r="AN21" s="53" t="n">
        <v>1</v>
      </c>
      <c r="AO21" s="53" t="n">
        <v>2.138296861099923</v>
      </c>
      <c r="AP21" s="53" t="n">
        <v>4.215393605326412</v>
      </c>
      <c r="AQ21" s="53" t="n">
        <v>6.642764263187622</v>
      </c>
      <c r="AR21" s="53" t="n">
        <v>10.91924645358462</v>
      </c>
      <c r="AS21" s="53" t="n">
        <v>14.724895250614</v>
      </c>
      <c r="AT21" s="53" t="n">
        <v>19.57150175054701</v>
      </c>
      <c r="AU21" s="53" t="n">
        <v>26.95286318895618</v>
      </c>
      <c r="AV21" s="53" t="n">
        <v>32.67917627305927</v>
      </c>
      <c r="AW21" s="53" t="n">
        <v>36.99403152513391</v>
      </c>
      <c r="AX21" s="53" t="n">
        <v>41.53368479066339</v>
      </c>
      <c r="AY21" s="53" t="n">
        <v>45.35510005706934</v>
      </c>
      <c r="AZ21" s="53" t="n">
        <v>48.28456510947722</v>
      </c>
      <c r="BA21" s="53" t="n">
        <v>50.53864552839194</v>
      </c>
      <c r="BB21" s="54" t="n">
        <v>52.47517306733032</v>
      </c>
      <c r="BC21" s="54" t="n">
        <v>53.90631415098479</v>
      </c>
      <c r="BD21" s="55" t="n">
        <v>55.33745523463926</v>
      </c>
    </row>
    <row r="22" ht="15" customHeight="1">
      <c r="A22" s="2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3" t="n"/>
      <c r="T22" s="2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3" t="n"/>
      <c r="AM22" s="2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3" t="n"/>
    </row>
    <row r="23" ht="15" customHeight="1">
      <c r="A23" s="2" t="inlineStr">
        <is>
          <t>模型</t>
        </is>
      </c>
      <c r="B23" s="47" t="inlineStr">
        <is>
          <t>首日</t>
        </is>
      </c>
      <c r="C23" s="47" t="inlineStr">
        <is>
          <t>3日</t>
        </is>
      </c>
      <c r="D23" s="47" t="inlineStr">
        <is>
          <t>7日</t>
        </is>
      </c>
      <c r="E23" s="47" t="inlineStr">
        <is>
          <t>15日</t>
        </is>
      </c>
      <c r="F23" s="47" t="inlineStr">
        <is>
          <t>30日</t>
        </is>
      </c>
      <c r="G23" s="47" t="inlineStr">
        <is>
          <t>45日</t>
        </is>
      </c>
      <c r="H23" s="47" t="inlineStr">
        <is>
          <t>60日</t>
        </is>
      </c>
      <c r="I23" s="47" t="inlineStr">
        <is>
          <t>90日</t>
        </is>
      </c>
      <c r="J23" s="47" t="inlineStr">
        <is>
          <t>120日</t>
        </is>
      </c>
      <c r="K23" s="47" t="inlineStr">
        <is>
          <t>150日</t>
        </is>
      </c>
      <c r="L23" s="47" t="inlineStr">
        <is>
          <t>180日</t>
        </is>
      </c>
      <c r="M23" s="47" t="inlineStr">
        <is>
          <t>210日</t>
        </is>
      </c>
      <c r="N23" s="47" t="inlineStr">
        <is>
          <t>240日</t>
        </is>
      </c>
      <c r="O23" s="47" t="inlineStr">
        <is>
          <t>270日</t>
        </is>
      </c>
      <c r="P23" s="47" t="inlineStr">
        <is>
          <t>300日</t>
        </is>
      </c>
      <c r="Q23" s="47" t="inlineStr">
        <is>
          <t>330日</t>
        </is>
      </c>
      <c r="R23" s="3" t="inlineStr">
        <is>
          <t>360日</t>
        </is>
      </c>
      <c r="T23" s="2" t="inlineStr">
        <is>
          <t>模型</t>
        </is>
      </c>
      <c r="U23" s="47" t="inlineStr">
        <is>
          <t>首日</t>
        </is>
      </c>
      <c r="V23" s="47" t="inlineStr">
        <is>
          <t>3日</t>
        </is>
      </c>
      <c r="W23" s="47" t="inlineStr">
        <is>
          <t>7日</t>
        </is>
      </c>
      <c r="X23" s="47" t="inlineStr">
        <is>
          <t>15日</t>
        </is>
      </c>
      <c r="Y23" s="47" t="inlineStr">
        <is>
          <t>30日</t>
        </is>
      </c>
      <c r="Z23" s="47" t="inlineStr">
        <is>
          <t>45日</t>
        </is>
      </c>
      <c r="AA23" s="47" t="inlineStr">
        <is>
          <t>60日</t>
        </is>
      </c>
      <c r="AB23" s="47" t="inlineStr">
        <is>
          <t>90日</t>
        </is>
      </c>
      <c r="AC23" s="47" t="inlineStr">
        <is>
          <t>120日</t>
        </is>
      </c>
      <c r="AD23" s="47" t="inlineStr">
        <is>
          <t>150日</t>
        </is>
      </c>
      <c r="AE23" s="47" t="inlineStr">
        <is>
          <t>180日</t>
        </is>
      </c>
      <c r="AF23" s="47" t="inlineStr">
        <is>
          <t>210日</t>
        </is>
      </c>
      <c r="AG23" s="47" t="inlineStr">
        <is>
          <t>240日</t>
        </is>
      </c>
      <c r="AH23" s="47" t="inlineStr">
        <is>
          <t>270日</t>
        </is>
      </c>
      <c r="AI23" s="47" t="inlineStr">
        <is>
          <t>300日</t>
        </is>
      </c>
      <c r="AJ23" s="47" t="inlineStr">
        <is>
          <t>330日</t>
        </is>
      </c>
      <c r="AK23" s="3" t="inlineStr">
        <is>
          <t>360日</t>
        </is>
      </c>
      <c r="AM23" s="2" t="inlineStr">
        <is>
          <t>模型</t>
        </is>
      </c>
      <c r="AN23" s="47" t="inlineStr">
        <is>
          <t>首日</t>
        </is>
      </c>
      <c r="AO23" s="47" t="inlineStr">
        <is>
          <t>3日</t>
        </is>
      </c>
      <c r="AP23" s="47" t="inlineStr">
        <is>
          <t>7日</t>
        </is>
      </c>
      <c r="AQ23" s="47" t="inlineStr">
        <is>
          <t>15日</t>
        </is>
      </c>
      <c r="AR23" s="47" t="inlineStr">
        <is>
          <t>30日</t>
        </is>
      </c>
      <c r="AS23" s="47" t="inlineStr">
        <is>
          <t>45日</t>
        </is>
      </c>
      <c r="AT23" s="47" t="inlineStr">
        <is>
          <t>60日</t>
        </is>
      </c>
      <c r="AU23" s="47" t="inlineStr">
        <is>
          <t>90日</t>
        </is>
      </c>
      <c r="AV23" s="47" t="inlineStr">
        <is>
          <t>120日</t>
        </is>
      </c>
      <c r="AW23" s="47" t="inlineStr">
        <is>
          <t>150日</t>
        </is>
      </c>
      <c r="AX23" s="47" t="inlineStr">
        <is>
          <t>180日</t>
        </is>
      </c>
      <c r="AY23" s="47" t="inlineStr">
        <is>
          <t>210日</t>
        </is>
      </c>
      <c r="AZ23" s="47" t="inlineStr">
        <is>
          <t>240日</t>
        </is>
      </c>
      <c r="BA23" s="47" t="inlineStr">
        <is>
          <t>270日</t>
        </is>
      </c>
      <c r="BB23" s="47" t="inlineStr">
        <is>
          <t>300日</t>
        </is>
      </c>
      <c r="BC23" s="47" t="inlineStr">
        <is>
          <t>330日</t>
        </is>
      </c>
      <c r="BD23" s="3" t="inlineStr">
        <is>
          <t>360日</t>
        </is>
      </c>
    </row>
    <row r="24" ht="15" customHeight="1">
      <c r="A24" s="2" t="n"/>
      <c r="B24" s="50" t="n">
        <v>0.02</v>
      </c>
      <c r="C24" s="50" t="n">
        <v>0.04823075702615558</v>
      </c>
      <c r="D24" s="50" t="n">
        <v>0.09705766725348737</v>
      </c>
      <c r="E24" s="50" t="n">
        <v>0.1591679583420308</v>
      </c>
      <c r="F24" s="50" t="n">
        <v>0.2855315010540913</v>
      </c>
      <c r="G24" s="50" t="n">
        <v>0.4067997732940024</v>
      </c>
      <c r="H24" s="50" t="n">
        <v>0.5365507919644472</v>
      </c>
      <c r="I24" s="50" t="n">
        <v>0.7432633357204074</v>
      </c>
      <c r="J24" s="50" t="n">
        <v>0.9513330017775354</v>
      </c>
      <c r="K24" s="50" t="n">
        <v>1.110087898368276</v>
      </c>
      <c r="L24" s="50" t="n">
        <v>1.261842839975942</v>
      </c>
      <c r="M24" s="50" t="n">
        <v>1.390899631340823</v>
      </c>
      <c r="N24" s="50" t="n">
        <v>1.533738255513143</v>
      </c>
      <c r="O24" s="50" t="n">
        <v>1.66041116764308</v>
      </c>
      <c r="P24" s="51" t="n">
        <v>1.758173694336084</v>
      </c>
      <c r="Q24" s="51" t="n">
        <v>1.824185124859793</v>
      </c>
      <c r="R24" s="24" t="n">
        <v>1.872614818440142</v>
      </c>
      <c r="T24" s="2" t="n"/>
      <c r="U24" s="50" t="n">
        <v>0.02</v>
      </c>
      <c r="V24" s="50" t="n">
        <v>0.04868850452194031</v>
      </c>
      <c r="W24" s="50" t="n">
        <v>0.09821422973111267</v>
      </c>
      <c r="X24" s="50" t="n">
        <v>0.1614340892587786</v>
      </c>
      <c r="Y24" s="50" t="n">
        <v>0.2905320852852101</v>
      </c>
      <c r="Z24" s="50" t="n">
        <v>0.414523734969745</v>
      </c>
      <c r="AA24" s="50" t="n">
        <v>0.5457408275947153</v>
      </c>
      <c r="AB24" s="50" t="n">
        <v>0.7548303548982611</v>
      </c>
      <c r="AC24" s="50" t="n">
        <v>0.9677512645949434</v>
      </c>
      <c r="AD24" s="50" t="n">
        <v>1.130047119663034</v>
      </c>
      <c r="AE24" s="50" t="n">
        <v>1.285010303899729</v>
      </c>
      <c r="AF24" s="50" t="n">
        <v>1.416800725902448</v>
      </c>
      <c r="AG24" s="50" t="n">
        <v>1.563722326779196</v>
      </c>
      <c r="AH24" s="50" t="n">
        <v>1.694077386774868</v>
      </c>
      <c r="AI24" s="51" t="n">
        <v>1.793822130108341</v>
      </c>
      <c r="AJ24" s="51" t="n">
        <v>1.861171997356955</v>
      </c>
      <c r="AK24" s="24" t="n">
        <v>1.910583643304485</v>
      </c>
      <c r="AM24" s="2" t="n"/>
      <c r="AN24" s="50" t="n">
        <v>0.03</v>
      </c>
      <c r="AO24" s="50" t="n">
        <v>0.06414890583299769</v>
      </c>
      <c r="AP24" s="50" t="n">
        <v>0.1264618081597924</v>
      </c>
      <c r="AQ24" s="50" t="n">
        <v>0.1992829278956287</v>
      </c>
      <c r="AR24" s="50" t="n">
        <v>0.3275773936075386</v>
      </c>
      <c r="AS24" s="50" t="n">
        <v>0.4417468575184199</v>
      </c>
      <c r="AT24" s="50" t="n">
        <v>0.5871450525164104</v>
      </c>
      <c r="AU24" s="50" t="n">
        <v>0.8085858956686852</v>
      </c>
      <c r="AV24" s="50" t="n">
        <v>0.9803752881917781</v>
      </c>
      <c r="AW24" s="50" t="n">
        <v>1.109820945754017</v>
      </c>
      <c r="AX24" s="50" t="n">
        <v>1.246010543719902</v>
      </c>
      <c r="AY24" s="50" t="n">
        <v>1.36065300171208</v>
      </c>
      <c r="AZ24" s="50" t="n">
        <v>1.448536953284317</v>
      </c>
      <c r="BA24" s="50" t="n">
        <v>1.516159365851758</v>
      </c>
      <c r="BB24" s="51" t="n">
        <v>1.57425519201991</v>
      </c>
      <c r="BC24" s="51" t="n">
        <v>1.617189424529544</v>
      </c>
      <c r="BD24" s="24" t="n">
        <v>1.660123657039178</v>
      </c>
    </row>
    <row r="25" ht="15" customHeight="1">
      <c r="A25" s="2" t="n"/>
      <c r="B25" s="50" t="n">
        <v>0.018</v>
      </c>
      <c r="C25" s="50" t="n">
        <v>0.04340768132354002</v>
      </c>
      <c r="D25" s="50" t="n">
        <v>0.08735190052813863</v>
      </c>
      <c r="E25" s="50" t="n">
        <v>0.1432511625078277</v>
      </c>
      <c r="F25" s="50" t="n">
        <v>0.2569783509486822</v>
      </c>
      <c r="G25" s="50" t="n">
        <v>0.3661197959646021</v>
      </c>
      <c r="H25" s="50" t="n">
        <v>0.4828957127680024</v>
      </c>
      <c r="I25" s="50" t="n">
        <v>0.6689370021483665</v>
      </c>
      <c r="J25" s="50" t="n">
        <v>0.8561997015997818</v>
      </c>
      <c r="K25" s="50" t="n">
        <v>0.999079108531448</v>
      </c>
      <c r="L25" s="50" t="n">
        <v>1.135658555978348</v>
      </c>
      <c r="M25" s="50" t="n">
        <v>1.25180966820674</v>
      </c>
      <c r="N25" s="50" t="n">
        <v>1.380364429961828</v>
      </c>
      <c r="O25" s="50" t="n">
        <v>1.494370050878772</v>
      </c>
      <c r="P25" s="51" t="n">
        <v>1.582356324902475</v>
      </c>
      <c r="Q25" s="51" t="n">
        <v>1.641766612373814</v>
      </c>
      <c r="R25" s="24" t="n">
        <v>1.685353336596127</v>
      </c>
      <c r="T25" s="2" t="n"/>
      <c r="U25" s="50" t="n">
        <v>0.018</v>
      </c>
      <c r="V25" s="50" t="n">
        <v>0.04381965406974628</v>
      </c>
      <c r="W25" s="50" t="n">
        <v>0.0883928067580014</v>
      </c>
      <c r="X25" s="50" t="n">
        <v>0.1452906803329007</v>
      </c>
      <c r="Y25" s="50" t="n">
        <v>0.261478876756689</v>
      </c>
      <c r="Z25" s="50" t="n">
        <v>0.3730713614727705</v>
      </c>
      <c r="AA25" s="50" t="n">
        <v>0.4911667448352437</v>
      </c>
      <c r="AB25" s="50" t="n">
        <v>0.679347319408435</v>
      </c>
      <c r="AC25" s="50" t="n">
        <v>0.8709761381354489</v>
      </c>
      <c r="AD25" s="50" t="n">
        <v>1.017042407696731</v>
      </c>
      <c r="AE25" s="50" t="n">
        <v>1.156509273509756</v>
      </c>
      <c r="AF25" s="50" t="n">
        <v>1.275120653312203</v>
      </c>
      <c r="AG25" s="50" t="n">
        <v>1.407350094101277</v>
      </c>
      <c r="AH25" s="50" t="n">
        <v>1.524669648097381</v>
      </c>
      <c r="AI25" s="51" t="n">
        <v>1.614439917097507</v>
      </c>
      <c r="AJ25" s="51" t="n">
        <v>1.675054797621259</v>
      </c>
      <c r="AK25" s="24" t="n">
        <v>1.719525278974036</v>
      </c>
      <c r="AM25" s="2" t="n"/>
      <c r="AN25" s="50" t="n">
        <v>0.028</v>
      </c>
      <c r="AO25" s="50" t="n">
        <v>0.05987231211079784</v>
      </c>
      <c r="AP25" s="50" t="n">
        <v>0.1180310209491395</v>
      </c>
      <c r="AQ25" s="50" t="n">
        <v>0.1859973993692534</v>
      </c>
      <c r="AR25" s="50" t="n">
        <v>0.3057389007003694</v>
      </c>
      <c r="AS25" s="50" t="n">
        <v>0.4122970670171919</v>
      </c>
      <c r="AT25" s="50" t="n">
        <v>0.5480020490153164</v>
      </c>
      <c r="AU25" s="50" t="n">
        <v>0.754680169290773</v>
      </c>
      <c r="AV25" s="50" t="n">
        <v>0.9150169356456596</v>
      </c>
      <c r="AW25" s="50" t="n">
        <v>1.03583288270375</v>
      </c>
      <c r="AX25" s="50" t="n">
        <v>1.162943174138575</v>
      </c>
      <c r="AY25" s="50" t="n">
        <v>1.269942801597941</v>
      </c>
      <c r="AZ25" s="50" t="n">
        <v>1.351967823065362</v>
      </c>
      <c r="BA25" s="50" t="n">
        <v>1.415082074794975</v>
      </c>
      <c r="BB25" s="51" t="n">
        <v>1.469304845885249</v>
      </c>
      <c r="BC25" s="51" t="n">
        <v>1.509376796227574</v>
      </c>
      <c r="BD25" s="24" t="n">
        <v>1.549448746569899</v>
      </c>
    </row>
    <row r="26" ht="15" customHeight="1">
      <c r="A26" s="5" t="n"/>
      <c r="B26" s="6" t="n">
        <v>0.016</v>
      </c>
      <c r="C26" s="6" t="n">
        <v>0.03858460562092447</v>
      </c>
      <c r="D26" s="6" t="n">
        <v>0.0776461338027899</v>
      </c>
      <c r="E26" s="6" t="n">
        <v>0.1273343666736246</v>
      </c>
      <c r="F26" s="6" t="n">
        <v>0.2284252008432731</v>
      </c>
      <c r="G26" s="6" t="n">
        <v>0.3254398186352019</v>
      </c>
      <c r="H26" s="6" t="n">
        <v>0.4292406335715578</v>
      </c>
      <c r="I26" s="6" t="n">
        <v>0.5946106685763259</v>
      </c>
      <c r="J26" s="6" t="n">
        <v>0.7610664014220283</v>
      </c>
      <c r="K26" s="6" t="n">
        <v>0.8880703186946205</v>
      </c>
      <c r="L26" s="6" t="n">
        <v>1.009474271980754</v>
      </c>
      <c r="M26" s="6" t="n">
        <v>1.112719705072658</v>
      </c>
      <c r="N26" s="6" t="n">
        <v>1.226990604410514</v>
      </c>
      <c r="O26" s="6" t="n">
        <v>1.328328934114464</v>
      </c>
      <c r="P26" s="25" t="n">
        <v>1.406538955468867</v>
      </c>
      <c r="Q26" s="25" t="n">
        <v>1.459348099887835</v>
      </c>
      <c r="R26" s="26" t="n">
        <v>1.498091854752114</v>
      </c>
      <c r="T26" s="5" t="n"/>
      <c r="U26" s="6" t="n">
        <v>0.016</v>
      </c>
      <c r="V26" s="6" t="n">
        <v>0.03895080361755225</v>
      </c>
      <c r="W26" s="6" t="n">
        <v>0.07857138378489015</v>
      </c>
      <c r="X26" s="6" t="n">
        <v>0.1291472714070229</v>
      </c>
      <c r="Y26" s="6" t="n">
        <v>0.2324256682281681</v>
      </c>
      <c r="Z26" s="6" t="n">
        <v>0.331618987975796</v>
      </c>
      <c r="AA26" s="6" t="n">
        <v>0.4365926620757722</v>
      </c>
      <c r="AB26" s="6" t="n">
        <v>0.6038642839186089</v>
      </c>
      <c r="AC26" s="6" t="n">
        <v>0.7742010116759547</v>
      </c>
      <c r="AD26" s="6" t="n">
        <v>0.9040376957304272</v>
      </c>
      <c r="AE26" s="6" t="n">
        <v>1.028008243119783</v>
      </c>
      <c r="AF26" s="6" t="n">
        <v>1.133440580721959</v>
      </c>
      <c r="AG26" s="6" t="n">
        <v>1.250977861423357</v>
      </c>
      <c r="AH26" s="6" t="n">
        <v>1.355261909419894</v>
      </c>
      <c r="AI26" s="25" t="n">
        <v>1.435057704086673</v>
      </c>
      <c r="AJ26" s="25" t="n">
        <v>1.488937597885564</v>
      </c>
      <c r="AK26" s="26" t="n">
        <v>1.528466914643587</v>
      </c>
      <c r="AM26" s="5" t="n"/>
      <c r="AN26" s="6" t="n">
        <v>0.026</v>
      </c>
      <c r="AO26" s="6" t="n">
        <v>0.055595718388598</v>
      </c>
      <c r="AP26" s="6" t="n">
        <v>0.1096002337384867</v>
      </c>
      <c r="AQ26" s="6" t="n">
        <v>0.1727118708428782</v>
      </c>
      <c r="AR26" s="6" t="n">
        <v>0.2839004077932001</v>
      </c>
      <c r="AS26" s="6" t="n">
        <v>0.3828472765159639</v>
      </c>
      <c r="AT26" s="6" t="n">
        <v>0.5088590455142222</v>
      </c>
      <c r="AU26" s="6" t="n">
        <v>0.7007744429128605</v>
      </c>
      <c r="AV26" s="6" t="n">
        <v>0.849658583099541</v>
      </c>
      <c r="AW26" s="6" t="n">
        <v>0.9618448196534817</v>
      </c>
      <c r="AX26" s="6" t="n">
        <v>1.079875804557248</v>
      </c>
      <c r="AY26" s="6" t="n">
        <v>1.179232601483803</v>
      </c>
      <c r="AZ26" s="6" t="n">
        <v>1.255398692846408</v>
      </c>
      <c r="BA26" s="6" t="n">
        <v>1.314004783738191</v>
      </c>
      <c r="BB26" s="25" t="n">
        <v>1.364354499750589</v>
      </c>
      <c r="BC26" s="25" t="n">
        <v>1.401564167925605</v>
      </c>
      <c r="BD26" s="26" t="n">
        <v>1.438773836100621</v>
      </c>
    </row>
    <row r="28" ht="13.9" customHeight="1">
      <c r="A28" s="33" t="inlineStr">
        <is>
          <t>1、倍率用账面LTV计算，无拆分端口，数据从25年5月开始统计
2、如果按照9个月回本，Channel_A首日需X%，Channel_B需Y%，Channel_C需Z%</t>
        </is>
      </c>
    </row>
    <row r="29"/>
  </sheetData>
  <mergeCells count="10">
    <mergeCell ref="T10:U10"/>
    <mergeCell ref="A19:B19"/>
    <mergeCell ref="T1:U1"/>
    <mergeCell ref="A10:B10"/>
    <mergeCell ref="T19:U19"/>
    <mergeCell ref="A28:Q29"/>
    <mergeCell ref="AM19:AN19"/>
    <mergeCell ref="AM10:AN10"/>
    <mergeCell ref="A1:B1"/>
    <mergeCell ref="AM1:A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3" workbookViewId="0">
      <selection activeCell="E68" sqref="E68"/>
    </sheetView>
  </sheetViews>
  <sheetFormatPr baseColWidth="8" defaultRowHeight="13.9"/>
  <cols>
    <col width="11.53125" bestFit="1" customWidth="1" style="34" min="1" max="1"/>
    <col width="10.19921875" bestFit="1" customWidth="1" style="34" min="2" max="2"/>
    <col width="9.1328125" bestFit="1" customWidth="1" style="34" min="3" max="3"/>
    <col width="10.19921875" bestFit="1" customWidth="1" style="34" min="4" max="6"/>
    <col width="11.3984375" bestFit="1" customWidth="1" style="34" min="7" max="16"/>
  </cols>
  <sheetData>
    <row r="1">
      <c r="A1" s="27" t="inlineStr">
        <is>
          <t>分月付费</t>
        </is>
      </c>
    </row>
    <row r="2">
      <c r="A2" s="56" t="inlineStr">
        <is>
          <t>月</t>
        </is>
      </c>
      <c r="B2" s="34" t="inlineStr">
        <is>
          <t>新增数</t>
        </is>
      </c>
      <c r="C2" s="34" t="inlineStr">
        <is>
          <t>首日付费</t>
        </is>
      </c>
      <c r="D2" s="34" t="inlineStr">
        <is>
          <t>3日付费</t>
        </is>
      </c>
      <c r="E2" s="34" t="inlineStr">
        <is>
          <t>7日付费</t>
        </is>
      </c>
      <c r="F2" s="34" t="inlineStr">
        <is>
          <t>15日付费</t>
        </is>
      </c>
      <c r="G2" s="34" t="inlineStr">
        <is>
          <t>30日付费</t>
        </is>
      </c>
      <c r="H2" s="34" t="inlineStr">
        <is>
          <t>45日付费</t>
        </is>
      </c>
      <c r="I2" s="34" t="inlineStr">
        <is>
          <t>60日付费</t>
        </is>
      </c>
      <c r="J2" s="34" t="inlineStr">
        <is>
          <t>90日付费</t>
        </is>
      </c>
      <c r="K2" s="34" t="inlineStr">
        <is>
          <t>120日付费</t>
        </is>
      </c>
      <c r="L2" s="34" t="inlineStr">
        <is>
          <t>150日付费</t>
        </is>
      </c>
      <c r="M2" s="34" t="inlineStr">
        <is>
          <t>180日付费</t>
        </is>
      </c>
      <c r="N2" s="34" t="inlineStr">
        <is>
          <t>210日付费</t>
        </is>
      </c>
      <c r="O2" s="34" t="inlineStr">
        <is>
          <t>240日付费</t>
        </is>
      </c>
      <c r="P2" s="34" t="inlineStr">
        <is>
          <t>270日付费</t>
        </is>
      </c>
    </row>
    <row r="3">
      <c r="A3" s="56" t="n">
        <v>45413</v>
      </c>
      <c r="B3" s="34" t="n">
        <v>726836</v>
      </c>
      <c r="C3" s="34" t="n">
        <v>155866</v>
      </c>
      <c r="D3" s="34" t="n">
        <v>442236</v>
      </c>
      <c r="E3" s="34" t="n">
        <v>1063945</v>
      </c>
      <c r="F3" s="34" t="n">
        <v>2037035</v>
      </c>
      <c r="G3" s="34" t="n">
        <v>3909583</v>
      </c>
      <c r="H3" s="34" t="n">
        <v>5749572</v>
      </c>
      <c r="I3" s="34" t="n">
        <v>8012749</v>
      </c>
      <c r="J3" s="34" t="n">
        <v>11755621</v>
      </c>
      <c r="K3" s="34" t="n">
        <v>15585748</v>
      </c>
      <c r="L3" s="34" t="n">
        <v>19035546</v>
      </c>
      <c r="M3" s="34" t="n">
        <v>22147384</v>
      </c>
      <c r="N3" s="34" t="n">
        <v>25056457</v>
      </c>
      <c r="O3" s="34" t="n">
        <v>28165081</v>
      </c>
      <c r="P3" s="34" t="n">
        <v>30821264</v>
      </c>
    </row>
    <row r="4">
      <c r="A4" s="56" t="n">
        <v>45444</v>
      </c>
      <c r="B4" s="34" t="n">
        <v>1653315</v>
      </c>
      <c r="C4" s="34" t="n">
        <v>242668</v>
      </c>
      <c r="D4" s="34" t="n">
        <v>737042</v>
      </c>
      <c r="E4" s="34" t="n">
        <v>1593644</v>
      </c>
      <c r="F4" s="34" t="n">
        <v>2967571</v>
      </c>
      <c r="G4" s="34" t="n">
        <v>6082132</v>
      </c>
      <c r="H4" s="34" t="n">
        <v>9205875</v>
      </c>
      <c r="I4" s="34" t="n">
        <v>12350660</v>
      </c>
      <c r="J4" s="34" t="n">
        <v>17975035</v>
      </c>
      <c r="K4" s="34" t="n">
        <v>24055165</v>
      </c>
      <c r="L4" s="34" t="n">
        <v>28676646</v>
      </c>
      <c r="M4" s="34" t="n">
        <v>34110439</v>
      </c>
      <c r="N4" s="34" t="n">
        <v>38607241</v>
      </c>
      <c r="O4" s="34" t="n">
        <v>43435455</v>
      </c>
      <c r="P4" s="34" t="n">
        <v>47028574</v>
      </c>
    </row>
    <row r="5">
      <c r="A5" s="56" t="n">
        <v>45474</v>
      </c>
      <c r="B5" s="34" t="n">
        <v>2022779</v>
      </c>
      <c r="C5" s="34" t="n">
        <v>302348</v>
      </c>
      <c r="D5" s="34" t="n">
        <v>819338</v>
      </c>
      <c r="E5" s="34" t="n">
        <v>1810701</v>
      </c>
      <c r="F5" s="34" t="n">
        <v>3392391</v>
      </c>
      <c r="G5" s="34" t="n">
        <v>6553863</v>
      </c>
      <c r="H5" s="34" t="n">
        <v>9910514</v>
      </c>
      <c r="I5" s="34" t="n">
        <v>13563739</v>
      </c>
      <c r="J5" s="34" t="n">
        <v>20605644</v>
      </c>
      <c r="K5" s="34" t="n">
        <v>27099191</v>
      </c>
      <c r="L5" s="34" t="n">
        <v>32996703</v>
      </c>
      <c r="M5" s="34" t="n">
        <v>39051043</v>
      </c>
      <c r="N5" s="34" t="n">
        <v>44425275</v>
      </c>
      <c r="O5" s="34" t="n">
        <v>49291875</v>
      </c>
      <c r="P5" s="34" t="n">
        <v>50782916</v>
      </c>
    </row>
    <row r="6">
      <c r="A6" s="56" t="n">
        <v>45505</v>
      </c>
      <c r="B6" s="34" t="n">
        <v>1661545</v>
      </c>
      <c r="C6" s="34" t="n">
        <v>214980</v>
      </c>
      <c r="D6" s="34" t="n">
        <v>661652</v>
      </c>
      <c r="E6" s="34" t="n">
        <v>1462176</v>
      </c>
      <c r="F6" s="34" t="n">
        <v>2659629</v>
      </c>
      <c r="G6" s="34" t="n">
        <v>5118168</v>
      </c>
      <c r="H6" s="34" t="n">
        <v>7650697</v>
      </c>
      <c r="I6" s="34" t="n">
        <v>10525239</v>
      </c>
      <c r="J6" s="34" t="n">
        <v>15186734</v>
      </c>
      <c r="K6" s="34" t="n">
        <v>20179757</v>
      </c>
      <c r="L6" s="34" t="n">
        <v>24249015</v>
      </c>
      <c r="M6" s="34" t="n">
        <v>28663799</v>
      </c>
      <c r="N6" s="34" t="n">
        <v>31748560</v>
      </c>
      <c r="O6" s="34" t="n">
        <v>32817437</v>
      </c>
      <c r="P6" s="34" t="n">
        <v>33764093</v>
      </c>
    </row>
    <row r="7">
      <c r="A7" s="56" t="n">
        <v>45536</v>
      </c>
      <c r="B7" s="34" t="n">
        <v>1471868</v>
      </c>
      <c r="C7" s="34" t="n">
        <v>192618</v>
      </c>
      <c r="D7" s="34" t="n">
        <v>540599</v>
      </c>
      <c r="E7" s="34" t="n">
        <v>1196202</v>
      </c>
      <c r="F7" s="34" t="n">
        <v>2170566</v>
      </c>
      <c r="G7" s="34" t="n">
        <v>4396906</v>
      </c>
      <c r="H7" s="34" t="n">
        <v>6542677</v>
      </c>
      <c r="I7" s="34" t="n">
        <v>8932749</v>
      </c>
      <c r="J7" s="34" t="n">
        <v>13307472</v>
      </c>
      <c r="K7" s="34" t="n">
        <v>17895457</v>
      </c>
      <c r="L7" s="34" t="n">
        <v>21619271</v>
      </c>
      <c r="M7" s="34" t="n">
        <v>24924700</v>
      </c>
      <c r="N7" s="34" t="n">
        <v>25745247</v>
      </c>
      <c r="O7" s="34" t="n">
        <v>26509958</v>
      </c>
      <c r="P7" s="34" t="n">
        <v>27274668</v>
      </c>
    </row>
    <row r="8">
      <c r="A8" s="56" t="n">
        <v>45566</v>
      </c>
      <c r="B8" s="34" t="n">
        <v>1960175</v>
      </c>
      <c r="C8" s="34" t="n">
        <v>247960</v>
      </c>
      <c r="D8" s="34" t="n">
        <v>665511</v>
      </c>
      <c r="E8" s="34" t="n">
        <v>1504549</v>
      </c>
      <c r="F8" s="34" t="n">
        <v>2705790</v>
      </c>
      <c r="G8" s="34" t="n">
        <v>5109025</v>
      </c>
      <c r="H8" s="34" t="n">
        <v>7545753</v>
      </c>
      <c r="I8" s="34" t="n">
        <v>10582110</v>
      </c>
      <c r="J8" s="34" t="n">
        <v>16116189</v>
      </c>
      <c r="K8" s="34" t="n">
        <v>21408110</v>
      </c>
      <c r="L8" s="34" t="n">
        <v>25160746</v>
      </c>
      <c r="M8" s="34" t="n">
        <v>26000332</v>
      </c>
      <c r="N8" s="34" t="n">
        <v>26796261</v>
      </c>
      <c r="O8" s="34" t="n">
        <v>27592190</v>
      </c>
      <c r="P8" s="34" t="n">
        <v>28388118</v>
      </c>
    </row>
    <row r="9">
      <c r="A9" s="56" t="n">
        <v>45597</v>
      </c>
      <c r="B9" s="34" t="n">
        <v>1319601</v>
      </c>
      <c r="C9" s="34" t="n">
        <v>192540</v>
      </c>
      <c r="D9" s="34" t="n">
        <v>510108</v>
      </c>
      <c r="E9" s="34" t="n">
        <v>1141113</v>
      </c>
      <c r="F9" s="34" t="n">
        <v>2101721</v>
      </c>
      <c r="G9" s="34" t="n">
        <v>4119627</v>
      </c>
      <c r="H9" s="34" t="n">
        <v>6257342</v>
      </c>
      <c r="I9" s="34" t="n">
        <v>8651201</v>
      </c>
      <c r="J9" s="34" t="n">
        <v>12722168</v>
      </c>
      <c r="K9" s="34" t="n">
        <v>15859814</v>
      </c>
      <c r="L9" s="34" t="n">
        <v>16434117</v>
      </c>
      <c r="M9" s="34" t="n">
        <v>16953090</v>
      </c>
      <c r="N9" s="34" t="n">
        <v>17472062</v>
      </c>
      <c r="O9" s="34" t="n">
        <v>17991034</v>
      </c>
      <c r="P9" s="34" t="n">
        <v>18510006</v>
      </c>
    </row>
    <row r="10">
      <c r="A10" s="56" t="n">
        <v>45627</v>
      </c>
      <c r="B10" s="34" t="n">
        <v>1493758</v>
      </c>
      <c r="C10" s="34" t="n">
        <v>166067</v>
      </c>
      <c r="D10" s="34" t="n">
        <v>445544</v>
      </c>
      <c r="E10" s="34" t="n">
        <v>974735</v>
      </c>
      <c r="F10" s="34" t="n">
        <v>1749462</v>
      </c>
      <c r="G10" s="34" t="n">
        <v>3543702</v>
      </c>
      <c r="H10" s="34" t="n">
        <v>5217944</v>
      </c>
      <c r="I10" s="34" t="n">
        <v>7137252</v>
      </c>
      <c r="J10" s="34" t="n">
        <v>9519144</v>
      </c>
      <c r="K10" s="34" t="n">
        <v>9860937</v>
      </c>
      <c r="L10" s="34" t="n">
        <v>10182490</v>
      </c>
      <c r="M10" s="34" t="n">
        <v>10504042</v>
      </c>
      <c r="N10" s="34" t="n">
        <v>10825594</v>
      </c>
      <c r="O10" s="34" t="n">
        <v>11147146</v>
      </c>
      <c r="P10" s="34" t="n">
        <v>11468699</v>
      </c>
    </row>
    <row r="11">
      <c r="A11" s="56" t="n">
        <v>45658</v>
      </c>
      <c r="B11" s="34" t="n">
        <v>1854039</v>
      </c>
      <c r="C11" s="34" t="n">
        <v>147376</v>
      </c>
      <c r="D11" s="34" t="n">
        <v>435380</v>
      </c>
      <c r="E11" s="34" t="n">
        <v>948522</v>
      </c>
      <c r="F11" s="34" t="n">
        <v>1765398</v>
      </c>
      <c r="G11" s="34" t="n">
        <v>3470758</v>
      </c>
      <c r="H11" s="34" t="n">
        <v>4932563</v>
      </c>
      <c r="I11" s="34" t="n">
        <v>5572523</v>
      </c>
      <c r="J11" s="34" t="n">
        <v>5818406</v>
      </c>
      <c r="K11" s="34" t="n">
        <v>6014532</v>
      </c>
      <c r="L11" s="34" t="n">
        <v>6210658</v>
      </c>
      <c r="M11" s="34" t="n">
        <v>6406784</v>
      </c>
      <c r="N11" s="34" t="n">
        <v>6602910</v>
      </c>
      <c r="O11" s="34" t="n">
        <v>6799036</v>
      </c>
      <c r="P11" s="34" t="n">
        <v>6995162</v>
      </c>
    </row>
    <row r="12">
      <c r="A12" s="56" t="n">
        <v>45689</v>
      </c>
      <c r="B12" s="34" t="n">
        <v>1749535</v>
      </c>
      <c r="C12" s="34" t="n">
        <v>151769</v>
      </c>
      <c r="D12" s="34" t="n">
        <v>461838</v>
      </c>
      <c r="E12" s="34" t="n">
        <v>1029755</v>
      </c>
      <c r="F12" s="34" t="n">
        <v>1672244</v>
      </c>
      <c r="G12" s="34" t="n">
        <v>2258881</v>
      </c>
      <c r="H12" s="34" t="n">
        <v>2321526</v>
      </c>
      <c r="I12" s="34" t="n">
        <v>2362737</v>
      </c>
      <c r="J12" s="34" t="n">
        <v>2445158</v>
      </c>
      <c r="K12" s="34" t="n">
        <v>2527579</v>
      </c>
      <c r="L12" s="34" t="n">
        <v>2610000</v>
      </c>
      <c r="M12" s="34" t="n">
        <v>2692421</v>
      </c>
      <c r="N12" s="34" t="n">
        <v>2774842</v>
      </c>
      <c r="O12" s="34" t="n">
        <v>2857263</v>
      </c>
      <c r="P12" s="34" t="n">
        <v>2939684</v>
      </c>
    </row>
    <row r="13"/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/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</row>
    <row r="40"/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45" t="n">
        <v>1</v>
      </c>
    </row>
    <row r="54"/>
    <row r="55">
      <c r="A55" s="29" t="inlineStr">
        <is>
          <t>Channel_A-整体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0.008500000000000001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0.0075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0.0065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6" workbookViewId="0">
      <selection activeCell="A55" sqref="A55:R62"/>
    </sheetView>
  </sheetViews>
  <sheetFormatPr baseColWidth="8" defaultRowHeight="14.25"/>
  <cols>
    <col width="13.265625" bestFit="1" customWidth="1" style="64" min="1" max="1"/>
    <col width="10.19921875" bestFit="1" customWidth="1" style="7" min="2" max="2"/>
    <col width="9.1328125" bestFit="1" customWidth="1" style="7" min="3" max="3"/>
    <col width="10.19921875" bestFit="1" customWidth="1" style="7" min="4" max="6"/>
    <col width="11.3984375" bestFit="1" customWidth="1" style="7" min="7" max="16"/>
    <col width="10.06640625" bestFit="1" customWidth="1" style="8" min="17" max="17"/>
    <col width="9.06640625" customWidth="1" style="8" min="18" max="18"/>
  </cols>
  <sheetData>
    <row r="1">
      <c r="A1" s="27" t="inlineStr">
        <is>
          <t>分月付费</t>
        </is>
      </c>
    </row>
    <row r="2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</row>
    <row r="3">
      <c r="A3" s="56" t="n">
        <v>45413</v>
      </c>
      <c r="B3" s="34" t="n">
        <v>485977</v>
      </c>
      <c r="C3" s="34" t="n">
        <v>112343</v>
      </c>
      <c r="D3" s="34" t="n">
        <v>315299</v>
      </c>
      <c r="E3" s="34" t="n">
        <v>757367</v>
      </c>
      <c r="F3" s="34" t="n">
        <v>1458312</v>
      </c>
      <c r="G3" s="34" t="n">
        <v>2786906</v>
      </c>
      <c r="H3" s="34" t="n">
        <v>4106641</v>
      </c>
      <c r="I3" s="34" t="n">
        <v>5710665</v>
      </c>
      <c r="J3" s="34" t="n">
        <v>8372418</v>
      </c>
      <c r="K3" s="34" t="n">
        <v>11084820</v>
      </c>
      <c r="L3" s="34" t="n">
        <v>13546513</v>
      </c>
      <c r="M3" s="34" t="n">
        <v>15791772</v>
      </c>
      <c r="N3" s="34" t="n">
        <v>17904837</v>
      </c>
      <c r="O3" s="34" t="n">
        <v>20158495</v>
      </c>
      <c r="P3" s="34" t="n">
        <v>22094762</v>
      </c>
    </row>
    <row r="4">
      <c r="A4" s="56" t="n">
        <v>45444</v>
      </c>
      <c r="B4" s="34" t="n">
        <v>1171147</v>
      </c>
      <c r="C4" s="34" t="n">
        <v>154969</v>
      </c>
      <c r="D4" s="34" t="n">
        <v>504111</v>
      </c>
      <c r="E4" s="34" t="n">
        <v>1075816</v>
      </c>
      <c r="F4" s="34" t="n">
        <v>2019681</v>
      </c>
      <c r="G4" s="34" t="n">
        <v>4173262</v>
      </c>
      <c r="H4" s="34" t="n">
        <v>6346439</v>
      </c>
      <c r="I4" s="34" t="n">
        <v>8514766</v>
      </c>
      <c r="J4" s="34" t="n">
        <v>12402067</v>
      </c>
      <c r="K4" s="34" t="n">
        <v>16651483</v>
      </c>
      <c r="L4" s="34" t="n">
        <v>19881865</v>
      </c>
      <c r="M4" s="34" t="n">
        <v>23703703</v>
      </c>
      <c r="N4" s="34" t="n">
        <v>26868207</v>
      </c>
      <c r="O4" s="34" t="n">
        <v>30273778</v>
      </c>
      <c r="P4" s="34" t="n">
        <v>32791819</v>
      </c>
    </row>
    <row r="5">
      <c r="A5" s="56" t="n">
        <v>45474</v>
      </c>
      <c r="B5" s="34" t="n">
        <v>1401168</v>
      </c>
      <c r="C5" s="34" t="n">
        <v>195315</v>
      </c>
      <c r="D5" s="34" t="n">
        <v>525549</v>
      </c>
      <c r="E5" s="34" t="n">
        <v>1158021</v>
      </c>
      <c r="F5" s="34" t="n">
        <v>2181453</v>
      </c>
      <c r="G5" s="34" t="n">
        <v>4175575</v>
      </c>
      <c r="H5" s="34" t="n">
        <v>6251302</v>
      </c>
      <c r="I5" s="34" t="n">
        <v>8544525</v>
      </c>
      <c r="J5" s="34" t="n">
        <v>12916975</v>
      </c>
      <c r="K5" s="34" t="n">
        <v>16998625</v>
      </c>
      <c r="L5" s="34" t="n">
        <v>20660161</v>
      </c>
      <c r="M5" s="34" t="n">
        <v>24459229</v>
      </c>
      <c r="N5" s="34" t="n">
        <v>27829989</v>
      </c>
      <c r="O5" s="34" t="n">
        <v>31018466</v>
      </c>
      <c r="P5" s="34" t="n">
        <v>31957256</v>
      </c>
    </row>
    <row r="6">
      <c r="A6" s="56" t="n">
        <v>45505</v>
      </c>
      <c r="B6" s="34" t="n">
        <v>1104553</v>
      </c>
      <c r="C6" s="34" t="n">
        <v>124258</v>
      </c>
      <c r="D6" s="34" t="n">
        <v>414276</v>
      </c>
      <c r="E6" s="34" t="n">
        <v>939568</v>
      </c>
      <c r="F6" s="34" t="n">
        <v>1675080</v>
      </c>
      <c r="G6" s="34" t="n">
        <v>3133612</v>
      </c>
      <c r="H6" s="34" t="n">
        <v>4676866</v>
      </c>
      <c r="I6" s="34" t="n">
        <v>6403787</v>
      </c>
      <c r="J6" s="34" t="n">
        <v>9278158</v>
      </c>
      <c r="K6" s="34" t="n">
        <v>12377486</v>
      </c>
      <c r="L6" s="34" t="n">
        <v>14866285</v>
      </c>
      <c r="M6" s="34" t="n">
        <v>17557040</v>
      </c>
      <c r="N6" s="34" t="n">
        <v>19479281</v>
      </c>
      <c r="O6" s="34" t="n">
        <v>20148226</v>
      </c>
      <c r="P6" s="34" t="n">
        <v>20729425</v>
      </c>
    </row>
    <row r="7">
      <c r="A7" s="56" t="n">
        <v>45536</v>
      </c>
      <c r="B7" s="34" t="n">
        <v>850920</v>
      </c>
      <c r="C7" s="34" t="n">
        <v>104258</v>
      </c>
      <c r="D7" s="34" t="n">
        <v>307086</v>
      </c>
      <c r="E7" s="34" t="n">
        <v>698772</v>
      </c>
      <c r="F7" s="34" t="n">
        <v>1279493</v>
      </c>
      <c r="G7" s="34" t="n">
        <v>2640306</v>
      </c>
      <c r="H7" s="34" t="n">
        <v>3939297</v>
      </c>
      <c r="I7" s="34" t="n">
        <v>5399842</v>
      </c>
      <c r="J7" s="34" t="n">
        <v>8078764</v>
      </c>
      <c r="K7" s="34" t="n">
        <v>10861642</v>
      </c>
      <c r="L7" s="34" t="n">
        <v>13128200</v>
      </c>
      <c r="M7" s="34" t="n">
        <v>15257677</v>
      </c>
      <c r="N7" s="34" t="n">
        <v>15762729</v>
      </c>
      <c r="O7" s="34" t="n">
        <v>16230929</v>
      </c>
      <c r="P7" s="34" t="n">
        <v>16699129</v>
      </c>
    </row>
    <row r="8">
      <c r="A8" s="56" t="n">
        <v>45566</v>
      </c>
      <c r="B8" s="34" t="n">
        <v>1207740</v>
      </c>
      <c r="C8" s="34" t="n">
        <v>118791</v>
      </c>
      <c r="D8" s="34" t="n">
        <v>347254</v>
      </c>
      <c r="E8" s="34" t="n">
        <v>778161</v>
      </c>
      <c r="F8" s="34" t="n">
        <v>1424418</v>
      </c>
      <c r="G8" s="34" t="n">
        <v>2788586</v>
      </c>
      <c r="H8" s="34" t="n">
        <v>4112612</v>
      </c>
      <c r="I8" s="34" t="n">
        <v>5728248</v>
      </c>
      <c r="J8" s="34" t="n">
        <v>8717713</v>
      </c>
      <c r="K8" s="34" t="n">
        <v>11623659</v>
      </c>
      <c r="L8" s="34" t="n">
        <v>13612449</v>
      </c>
      <c r="M8" s="34" t="n">
        <v>14070445</v>
      </c>
      <c r="N8" s="34" t="n">
        <v>14501172</v>
      </c>
      <c r="O8" s="34" t="n">
        <v>14931900</v>
      </c>
      <c r="P8" s="34" t="n">
        <v>15362628</v>
      </c>
    </row>
    <row r="9">
      <c r="A9" s="56" t="n">
        <v>45597</v>
      </c>
      <c r="B9" s="34" t="n">
        <v>702374</v>
      </c>
      <c r="C9" s="34" t="n">
        <v>92572</v>
      </c>
      <c r="D9" s="34" t="n">
        <v>239706</v>
      </c>
      <c r="E9" s="34" t="n">
        <v>547735</v>
      </c>
      <c r="F9" s="34" t="n">
        <v>998503</v>
      </c>
      <c r="G9" s="34" t="n">
        <v>1965756</v>
      </c>
      <c r="H9" s="34" t="n">
        <v>2984113</v>
      </c>
      <c r="I9" s="34" t="n">
        <v>4088147</v>
      </c>
      <c r="J9" s="34" t="n">
        <v>5941910</v>
      </c>
      <c r="K9" s="34" t="n">
        <v>7285667</v>
      </c>
      <c r="L9" s="34" t="n">
        <v>7554090</v>
      </c>
      <c r="M9" s="34" t="n">
        <v>7792640</v>
      </c>
      <c r="N9" s="34" t="n">
        <v>8031190</v>
      </c>
      <c r="O9" s="34" t="n">
        <v>8269740</v>
      </c>
      <c r="P9" s="34" t="n">
        <v>8508291</v>
      </c>
    </row>
    <row r="10">
      <c r="A10" s="56" t="n">
        <v>45627</v>
      </c>
      <c r="B10" s="34" t="n">
        <v>765345</v>
      </c>
      <c r="C10" s="34" t="n">
        <v>67465</v>
      </c>
      <c r="D10" s="34" t="n">
        <v>187620</v>
      </c>
      <c r="E10" s="34" t="n">
        <v>422106</v>
      </c>
      <c r="F10" s="34" t="n">
        <v>800578</v>
      </c>
      <c r="G10" s="34" t="n">
        <v>1623885</v>
      </c>
      <c r="H10" s="34" t="n">
        <v>2353669</v>
      </c>
      <c r="I10" s="34" t="n">
        <v>3199824</v>
      </c>
      <c r="J10" s="34" t="n">
        <v>4263437</v>
      </c>
      <c r="K10" s="34" t="n">
        <v>4418414</v>
      </c>
      <c r="L10" s="34" t="n">
        <v>4562492</v>
      </c>
      <c r="M10" s="34" t="n">
        <v>4706571</v>
      </c>
      <c r="N10" s="34" t="n">
        <v>4850650</v>
      </c>
      <c r="O10" s="34" t="n">
        <v>4994728</v>
      </c>
      <c r="P10" s="34" t="n">
        <v>5138807</v>
      </c>
    </row>
    <row r="11">
      <c r="A11" s="56" t="n">
        <v>45658</v>
      </c>
      <c r="B11" s="34" t="n">
        <v>1061687</v>
      </c>
      <c r="C11" s="34" t="n">
        <v>64555</v>
      </c>
      <c r="D11" s="34" t="n">
        <v>187458</v>
      </c>
      <c r="E11" s="34" t="n">
        <v>419366</v>
      </c>
      <c r="F11" s="34" t="n">
        <v>801764</v>
      </c>
      <c r="G11" s="34" t="n">
        <v>1527198</v>
      </c>
      <c r="H11" s="34" t="n">
        <v>2152437</v>
      </c>
      <c r="I11" s="34" t="n">
        <v>2427666</v>
      </c>
      <c r="J11" s="34" t="n">
        <v>2525963</v>
      </c>
      <c r="K11" s="34" t="n">
        <v>2611108</v>
      </c>
      <c r="L11" s="34" t="n">
        <v>2696252</v>
      </c>
      <c r="M11" s="34" t="n">
        <v>2781397</v>
      </c>
      <c r="N11" s="34" t="n">
        <v>2866542</v>
      </c>
      <c r="O11" s="34" t="n">
        <v>2951687</v>
      </c>
      <c r="P11" s="34" t="n">
        <v>3036832</v>
      </c>
    </row>
    <row r="12">
      <c r="A12" s="56" t="n">
        <v>45689</v>
      </c>
      <c r="B12" s="34" t="n">
        <v>986016</v>
      </c>
      <c r="C12" s="34" t="n">
        <v>65679</v>
      </c>
      <c r="D12" s="34" t="n">
        <v>200506</v>
      </c>
      <c r="E12" s="34" t="n">
        <v>444634</v>
      </c>
      <c r="F12" s="34" t="n">
        <v>744338</v>
      </c>
      <c r="G12" s="34" t="n">
        <v>1016975</v>
      </c>
      <c r="H12" s="34" t="n">
        <v>1048122</v>
      </c>
      <c r="I12" s="34" t="n">
        <v>1066728</v>
      </c>
      <c r="J12" s="34" t="n">
        <v>1103939</v>
      </c>
      <c r="K12" s="34" t="n">
        <v>1141151</v>
      </c>
      <c r="L12" s="34" t="n">
        <v>1178362</v>
      </c>
      <c r="M12" s="34" t="n">
        <v>1215573</v>
      </c>
      <c r="N12" s="34" t="n">
        <v>1252785</v>
      </c>
      <c r="O12" s="34" t="n">
        <v>1289996</v>
      </c>
      <c r="P12" s="34" t="n">
        <v>1327208</v>
      </c>
    </row>
    <row r="13"/>
    <row r="14">
      <c r="A14" s="27" t="inlineStr">
        <is>
          <t>分月LTV</t>
        </is>
      </c>
    </row>
    <row r="15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</row>
    <row r="16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</row>
    <row r="17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</row>
    <row r="18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</row>
    <row r="19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</row>
    <row r="20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</row>
    <row r="2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</row>
    <row r="22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</row>
    <row r="23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</row>
    <row r="24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</row>
    <row r="25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/>
    <row r="27">
      <c r="A27" s="28" t="inlineStr">
        <is>
          <t>分月倍率</t>
        </is>
      </c>
    </row>
    <row r="28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</row>
    <row r="29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</row>
    <row r="30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</row>
    <row r="3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</row>
    <row r="32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</row>
    <row r="33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</row>
    <row r="34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</row>
    <row r="35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</row>
    <row r="36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</row>
    <row r="37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</row>
    <row r="38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</row>
    <row r="40"/>
    <row r="41">
      <c r="A41" s="27" t="inlineStr">
        <is>
          <t>分月增长率</t>
        </is>
      </c>
    </row>
    <row r="42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</row>
    <row r="44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</row>
    <row r="45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</row>
    <row r="46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</row>
    <row r="47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</row>
    <row r="48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</row>
    <row r="49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</row>
    <row r="50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</row>
    <row r="5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</row>
    <row r="52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</row>
    <row r="53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46" t="n">
        <v>1.01</v>
      </c>
    </row>
    <row r="54"/>
    <row r="55" ht="13.9" customHeight="1">
      <c r="A55" s="29" t="inlineStr">
        <is>
          <t>Channel_A-新用户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 ht="13.9" customHeight="1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 ht="13.9" customHeight="1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 ht="13.9" customHeight="1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 ht="13.9" customHeight="1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 ht="13.9" customHeight="1">
      <c r="A60" s="18" t="n"/>
      <c r="B60" s="38" t="n">
        <v>0.008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 ht="13.9" customHeight="1">
      <c r="A61" s="18" t="n"/>
      <c r="B61" s="38" t="n">
        <v>0.007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 ht="13.9" customHeight="1">
      <c r="A62" s="22" t="n"/>
      <c r="B62" s="23" t="n">
        <v>0.006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3" workbookViewId="0">
      <selection activeCell="A55" sqref="A55:R62"/>
    </sheetView>
  </sheetViews>
  <sheetFormatPr baseColWidth="8" defaultRowHeight="14.25"/>
  <cols>
    <col width="13.265625" bestFit="1" customWidth="1" style="7" min="1" max="1"/>
    <col width="10.19921875" bestFit="1" customWidth="1" style="7" min="2" max="2"/>
    <col width="9.1328125" bestFit="1" customWidth="1" style="7" min="3" max="4"/>
    <col width="10.19921875" bestFit="1" customWidth="1" style="7" min="5" max="8"/>
    <col width="11.3984375" bestFit="1" customWidth="1" style="7" min="9" max="16"/>
  </cols>
  <sheetData>
    <row r="1">
      <c r="A1" s="27" t="inlineStr">
        <is>
          <t>分月付费</t>
        </is>
      </c>
    </row>
    <row r="2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</row>
    <row r="3" ht="13.9" customHeight="1">
      <c r="A3" s="56" t="n">
        <v>45413</v>
      </c>
      <c r="B3" s="34" t="n">
        <v>240859</v>
      </c>
      <c r="C3" s="34" t="n">
        <v>43524</v>
      </c>
      <c r="D3" s="34" t="n">
        <v>126937</v>
      </c>
      <c r="E3" s="34" t="n">
        <v>306578</v>
      </c>
      <c r="F3" s="34" t="n">
        <v>578723</v>
      </c>
      <c r="G3" s="34" t="n">
        <v>1122677</v>
      </c>
      <c r="H3" s="34" t="n">
        <v>1642931</v>
      </c>
      <c r="I3" s="34" t="n">
        <v>2302084</v>
      </c>
      <c r="J3" s="34" t="n">
        <v>3383202</v>
      </c>
      <c r="K3" s="34" t="n">
        <v>4500928</v>
      </c>
      <c r="L3" s="34" t="n">
        <v>5489033</v>
      </c>
      <c r="M3" s="34" t="n">
        <v>6355612</v>
      </c>
      <c r="N3" s="34" t="n">
        <v>7151620</v>
      </c>
      <c r="O3" s="34" t="n">
        <v>8006586</v>
      </c>
      <c r="P3" s="34" t="n">
        <v>8726502</v>
      </c>
    </row>
    <row r="4" ht="13.9" customHeight="1">
      <c r="A4" s="56" t="n">
        <v>45444</v>
      </c>
      <c r="B4" s="34" t="n">
        <v>482168</v>
      </c>
      <c r="C4" s="34" t="n">
        <v>87699</v>
      </c>
      <c r="D4" s="34" t="n">
        <v>232931</v>
      </c>
      <c r="E4" s="34" t="n">
        <v>517828</v>
      </c>
      <c r="F4" s="34" t="n">
        <v>947890</v>
      </c>
      <c r="G4" s="34" t="n">
        <v>1908870</v>
      </c>
      <c r="H4" s="34" t="n">
        <v>2859436</v>
      </c>
      <c r="I4" s="34" t="n">
        <v>3835894</v>
      </c>
      <c r="J4" s="34" t="n">
        <v>5572968</v>
      </c>
      <c r="K4" s="34" t="n">
        <v>7403682</v>
      </c>
      <c r="L4" s="34" t="n">
        <v>8794781</v>
      </c>
      <c r="M4" s="34" t="n">
        <v>10406736</v>
      </c>
      <c r="N4" s="34" t="n">
        <v>11739034</v>
      </c>
      <c r="O4" s="34" t="n">
        <v>13161678</v>
      </c>
      <c r="P4" s="34" t="n">
        <v>14236755</v>
      </c>
    </row>
    <row r="5" ht="13.9" customHeight="1">
      <c r="A5" s="56" t="n">
        <v>45474</v>
      </c>
      <c r="B5" s="34" t="n">
        <v>621611</v>
      </c>
      <c r="C5" s="34" t="n">
        <v>107033</v>
      </c>
      <c r="D5" s="34" t="n">
        <v>293789</v>
      </c>
      <c r="E5" s="34" t="n">
        <v>652679</v>
      </c>
      <c r="F5" s="34" t="n">
        <v>1210937</v>
      </c>
      <c r="G5" s="34" t="n">
        <v>2378288</v>
      </c>
      <c r="H5" s="34" t="n">
        <v>3659212</v>
      </c>
      <c r="I5" s="34" t="n">
        <v>5019215</v>
      </c>
      <c r="J5" s="34" t="n">
        <v>7688669</v>
      </c>
      <c r="K5" s="34" t="n">
        <v>10100566</v>
      </c>
      <c r="L5" s="34" t="n">
        <v>12336542</v>
      </c>
      <c r="M5" s="34" t="n">
        <v>14591814</v>
      </c>
      <c r="N5" s="34" t="n">
        <v>16595285</v>
      </c>
      <c r="O5" s="34" t="n">
        <v>18273409</v>
      </c>
      <c r="P5" s="34" t="n">
        <v>18825660</v>
      </c>
    </row>
    <row r="6" ht="13.9" customHeight="1">
      <c r="A6" s="56" t="n">
        <v>45505</v>
      </c>
      <c r="B6" s="34" t="n">
        <v>556992</v>
      </c>
      <c r="C6" s="34" t="n">
        <v>90722</v>
      </c>
      <c r="D6" s="34" t="n">
        <v>247375</v>
      </c>
      <c r="E6" s="34" t="n">
        <v>522609</v>
      </c>
      <c r="F6" s="34" t="n">
        <v>984549</v>
      </c>
      <c r="G6" s="34" t="n">
        <v>1984555</v>
      </c>
      <c r="H6" s="34" t="n">
        <v>2973831</v>
      </c>
      <c r="I6" s="34" t="n">
        <v>4121452</v>
      </c>
      <c r="J6" s="34" t="n">
        <v>5908576</v>
      </c>
      <c r="K6" s="34" t="n">
        <v>7802271</v>
      </c>
      <c r="L6" s="34" t="n">
        <v>9382730</v>
      </c>
      <c r="M6" s="34" t="n">
        <v>11106759</v>
      </c>
      <c r="N6" s="34" t="n">
        <v>12269279</v>
      </c>
      <c r="O6" s="34" t="n">
        <v>12669211</v>
      </c>
      <c r="P6" s="34" t="n">
        <v>13034669</v>
      </c>
    </row>
    <row r="7" ht="13.9" customHeight="1">
      <c r="A7" s="56" t="n">
        <v>45536</v>
      </c>
      <c r="B7" s="34" t="n">
        <v>620948</v>
      </c>
      <c r="C7" s="34" t="n">
        <v>88361</v>
      </c>
      <c r="D7" s="34" t="n">
        <v>233512</v>
      </c>
      <c r="E7" s="34" t="n">
        <v>497430</v>
      </c>
      <c r="F7" s="34" t="n">
        <v>891073</v>
      </c>
      <c r="G7" s="34" t="n">
        <v>1756601</v>
      </c>
      <c r="H7" s="34" t="n">
        <v>2603380</v>
      </c>
      <c r="I7" s="34" t="n">
        <v>3532907</v>
      </c>
      <c r="J7" s="34" t="n">
        <v>5228708</v>
      </c>
      <c r="K7" s="34" t="n">
        <v>7033815</v>
      </c>
      <c r="L7" s="34" t="n">
        <v>8491072</v>
      </c>
      <c r="M7" s="34" t="n">
        <v>9667023</v>
      </c>
      <c r="N7" s="34" t="n">
        <v>9982518</v>
      </c>
      <c r="O7" s="34" t="n">
        <v>10279029</v>
      </c>
      <c r="P7" s="34" t="n">
        <v>10575539</v>
      </c>
    </row>
    <row r="8" ht="13.9" customHeight="1">
      <c r="A8" s="56" t="n">
        <v>45566</v>
      </c>
      <c r="B8" s="34" t="n">
        <v>752435</v>
      </c>
      <c r="C8" s="34" t="n">
        <v>129170</v>
      </c>
      <c r="D8" s="34" t="n">
        <v>318257</v>
      </c>
      <c r="E8" s="34" t="n">
        <v>726388</v>
      </c>
      <c r="F8" s="34" t="n">
        <v>1281372</v>
      </c>
      <c r="G8" s="34" t="n">
        <v>2320439</v>
      </c>
      <c r="H8" s="34" t="n">
        <v>3433141</v>
      </c>
      <c r="I8" s="34" t="n">
        <v>4853862</v>
      </c>
      <c r="J8" s="34" t="n">
        <v>7398476</v>
      </c>
      <c r="K8" s="34" t="n">
        <v>9784451</v>
      </c>
      <c r="L8" s="34" t="n">
        <v>11548297</v>
      </c>
      <c r="M8" s="34" t="n">
        <v>11929888</v>
      </c>
      <c r="N8" s="34" t="n">
        <v>12295089</v>
      </c>
      <c r="O8" s="34" t="n">
        <v>12660289</v>
      </c>
      <c r="P8" s="34" t="n">
        <v>13025490</v>
      </c>
    </row>
    <row r="9" ht="13.9" customHeight="1">
      <c r="A9" s="56" t="n">
        <v>45597</v>
      </c>
      <c r="B9" s="34" t="n">
        <v>617227</v>
      </c>
      <c r="C9" s="34" t="n">
        <v>99968</v>
      </c>
      <c r="D9" s="34" t="n">
        <v>270401</v>
      </c>
      <c r="E9" s="34" t="n">
        <v>593378</v>
      </c>
      <c r="F9" s="34" t="n">
        <v>1103218</v>
      </c>
      <c r="G9" s="34" t="n">
        <v>2153870</v>
      </c>
      <c r="H9" s="34" t="n">
        <v>3273229</v>
      </c>
      <c r="I9" s="34" t="n">
        <v>4563053</v>
      </c>
      <c r="J9" s="34" t="n">
        <v>6780258</v>
      </c>
      <c r="K9" s="34" t="n">
        <v>8574147</v>
      </c>
      <c r="L9" s="34" t="n">
        <v>8880028</v>
      </c>
      <c r="M9" s="34" t="n">
        <v>9160450</v>
      </c>
      <c r="N9" s="34" t="n">
        <v>9440871</v>
      </c>
      <c r="O9" s="34" t="n">
        <v>9721293</v>
      </c>
      <c r="P9" s="34" t="n">
        <v>10001715</v>
      </c>
    </row>
    <row r="10" ht="13.9" customHeight="1">
      <c r="A10" s="56" t="n">
        <v>45627</v>
      </c>
      <c r="B10" s="34" t="n">
        <v>728414</v>
      </c>
      <c r="C10" s="34" t="n">
        <v>98601</v>
      </c>
      <c r="D10" s="34" t="n">
        <v>257924</v>
      </c>
      <c r="E10" s="34" t="n">
        <v>552629</v>
      </c>
      <c r="F10" s="34" t="n">
        <v>948884</v>
      </c>
      <c r="G10" s="34" t="n">
        <v>1919818</v>
      </c>
      <c r="H10" s="34" t="n">
        <v>2864275</v>
      </c>
      <c r="I10" s="34" t="n">
        <v>3937429</v>
      </c>
      <c r="J10" s="34" t="n">
        <v>5255706</v>
      </c>
      <c r="K10" s="34" t="n">
        <v>5442524</v>
      </c>
      <c r="L10" s="34" t="n">
        <v>5619997</v>
      </c>
      <c r="M10" s="34" t="n">
        <v>5797471</v>
      </c>
      <c r="N10" s="34" t="n">
        <v>5974944</v>
      </c>
      <c r="O10" s="34" t="n">
        <v>6152418</v>
      </c>
      <c r="P10" s="34" t="n">
        <v>6329892</v>
      </c>
    </row>
    <row r="11" ht="13.9" customHeight="1">
      <c r="A11" s="56" t="n">
        <v>45658</v>
      </c>
      <c r="B11" s="34" t="n">
        <v>792351</v>
      </c>
      <c r="C11" s="34" t="n">
        <v>82821</v>
      </c>
      <c r="D11" s="34" t="n">
        <v>247922</v>
      </c>
      <c r="E11" s="34" t="n">
        <v>529156</v>
      </c>
      <c r="F11" s="34" t="n">
        <v>963634</v>
      </c>
      <c r="G11" s="34" t="n">
        <v>1943560</v>
      </c>
      <c r="H11" s="34" t="n">
        <v>2780126</v>
      </c>
      <c r="I11" s="34" t="n">
        <v>3144857</v>
      </c>
      <c r="J11" s="34" t="n">
        <v>3292443</v>
      </c>
      <c r="K11" s="34" t="n">
        <v>3403424</v>
      </c>
      <c r="L11" s="34" t="n">
        <v>3514405</v>
      </c>
      <c r="M11" s="34" t="n">
        <v>3625387</v>
      </c>
      <c r="N11" s="34" t="n">
        <v>3736368</v>
      </c>
      <c r="O11" s="34" t="n">
        <v>3847349</v>
      </c>
      <c r="P11" s="34" t="n">
        <v>3958330</v>
      </c>
    </row>
    <row r="12" ht="13.9" customHeight="1">
      <c r="A12" s="56" t="n">
        <v>45689</v>
      </c>
      <c r="B12" s="34" t="n">
        <v>763519</v>
      </c>
      <c r="C12" s="34" t="n">
        <v>86090</v>
      </c>
      <c r="D12" s="34" t="n">
        <v>261332</v>
      </c>
      <c r="E12" s="34" t="n">
        <v>585121</v>
      </c>
      <c r="F12" s="34" t="n">
        <v>927906</v>
      </c>
      <c r="G12" s="34" t="n">
        <v>1241906</v>
      </c>
      <c r="H12" s="34" t="n">
        <v>1273404</v>
      </c>
      <c r="I12" s="34" t="n">
        <v>1296009</v>
      </c>
      <c r="J12" s="34" t="n">
        <v>1341219</v>
      </c>
      <c r="K12" s="34" t="n">
        <v>1386428</v>
      </c>
      <c r="L12" s="34" t="n">
        <v>1431638</v>
      </c>
      <c r="M12" s="34" t="n">
        <v>1476848</v>
      </c>
      <c r="N12" s="34" t="n">
        <v>1522057</v>
      </c>
      <c r="O12" s="34" t="n">
        <v>1567267</v>
      </c>
      <c r="P12" s="34" t="n">
        <v>1612477</v>
      </c>
    </row>
    <row r="13"/>
    <row r="14">
      <c r="A14" s="27" t="inlineStr">
        <is>
          <t>分月LTV</t>
        </is>
      </c>
    </row>
    <row r="15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</row>
    <row r="16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</row>
    <row r="17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</row>
    <row r="18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</row>
    <row r="19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</row>
    <row r="20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</row>
    <row r="2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</row>
    <row r="22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</row>
    <row r="23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</row>
    <row r="24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</row>
    <row r="25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/>
    <row r="27">
      <c r="A27" s="28" t="inlineStr">
        <is>
          <t>分月倍率</t>
        </is>
      </c>
    </row>
    <row r="28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</row>
    <row r="29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</row>
    <row r="30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</row>
    <row r="3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</row>
    <row r="32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</row>
    <row r="33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</row>
    <row r="34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</row>
    <row r="35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</row>
    <row r="36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</row>
    <row r="37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</row>
    <row r="38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</row>
    <row r="40"/>
    <row r="41">
      <c r="A41" s="27" t="inlineStr">
        <is>
          <t>分月增长率</t>
        </is>
      </c>
    </row>
    <row r="42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</row>
    <row r="44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</row>
    <row r="45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</row>
    <row r="46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</row>
    <row r="47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</row>
    <row r="48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</row>
    <row r="49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</row>
    <row r="50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</row>
    <row r="5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</row>
    <row r="52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</row>
    <row r="53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45" t="n">
        <v>1</v>
      </c>
    </row>
    <row r="54"/>
    <row r="55" ht="13.9" customHeight="1">
      <c r="A55" s="29" t="inlineStr">
        <is>
          <t>Channel_A-老用户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 ht="13.9" customHeight="1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 ht="13.9" customHeight="1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 ht="13.9" customHeight="1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 ht="13.9" customHeight="1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 ht="13.9" customHeight="1">
      <c r="A60" s="18" t="n"/>
      <c r="B60" s="38" t="n">
        <v>0.008500000000000001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 ht="13.9" customHeight="1">
      <c r="A61" s="18" t="n"/>
      <c r="B61" s="38" t="n">
        <v>0.0075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 ht="13.9" customHeight="1">
      <c r="A62" s="22" t="n"/>
      <c r="B62" s="23" t="n">
        <v>0.0065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3" workbookViewId="0">
      <selection activeCell="A55" sqref="A55:R62"/>
    </sheetView>
  </sheetViews>
  <sheetFormatPr baseColWidth="8" defaultRowHeight="14.25"/>
  <cols>
    <col width="11.53125" bestFit="1" customWidth="1" style="7" min="1" max="1"/>
    <col width="9.1328125" bestFit="1" customWidth="1" style="7" min="2" max="4"/>
    <col width="10.19921875" bestFit="1" customWidth="1" style="7" min="5" max="10"/>
    <col width="11.3984375" bestFit="1" customWidth="1" style="7" min="11" max="16"/>
    <col width="9.06640625" customWidth="1" style="7" min="17" max="19"/>
  </cols>
  <sheetData>
    <row r="1">
      <c r="A1" s="27" t="inlineStr">
        <is>
          <t>分月付费</t>
        </is>
      </c>
    </row>
    <row r="2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</row>
    <row r="3">
      <c r="A3" s="56" t="n">
        <v>45413</v>
      </c>
      <c r="B3" s="34" t="n">
        <v>45753</v>
      </c>
      <c r="C3" s="34" t="n">
        <v>27711</v>
      </c>
      <c r="D3" s="34" t="n">
        <v>90081</v>
      </c>
      <c r="E3" s="34" t="n">
        <v>209503</v>
      </c>
      <c r="F3" s="34" t="n">
        <v>392960</v>
      </c>
      <c r="G3" s="34" t="n">
        <v>785990</v>
      </c>
      <c r="H3" s="34" t="n">
        <v>1070192</v>
      </c>
      <c r="I3" s="34" t="n">
        <v>1409814</v>
      </c>
      <c r="J3" s="34" t="n">
        <v>1954771</v>
      </c>
      <c r="K3" s="34" t="n">
        <v>2507372</v>
      </c>
      <c r="L3" s="34" t="n">
        <v>2937737</v>
      </c>
      <c r="M3" s="34" t="n">
        <v>3354710</v>
      </c>
      <c r="N3" s="34" t="n">
        <v>3723757</v>
      </c>
      <c r="O3" s="34" t="n">
        <v>4218997</v>
      </c>
      <c r="P3" s="34" t="n">
        <v>4571899</v>
      </c>
    </row>
    <row r="4">
      <c r="A4" s="56" t="n">
        <v>45444</v>
      </c>
      <c r="B4" s="34" t="n">
        <v>103314</v>
      </c>
      <c r="C4" s="34" t="n">
        <v>81086</v>
      </c>
      <c r="D4" s="34" t="n">
        <v>223856</v>
      </c>
      <c r="E4" s="34" t="n">
        <v>440432</v>
      </c>
      <c r="F4" s="34" t="n">
        <v>744662</v>
      </c>
      <c r="G4" s="34" t="n">
        <v>1345873</v>
      </c>
      <c r="H4" s="34" t="n">
        <v>1905925</v>
      </c>
      <c r="I4" s="34" t="n">
        <v>2493109</v>
      </c>
      <c r="J4" s="34" t="n">
        <v>3502526</v>
      </c>
      <c r="K4" s="34" t="n">
        <v>4513190</v>
      </c>
      <c r="L4" s="34" t="n">
        <v>5236742</v>
      </c>
      <c r="M4" s="34" t="n">
        <v>6109715</v>
      </c>
      <c r="N4" s="34" t="n">
        <v>6905026</v>
      </c>
      <c r="O4" s="34" t="n">
        <v>7683163</v>
      </c>
      <c r="P4" s="34" t="n">
        <v>8369229</v>
      </c>
    </row>
    <row r="5">
      <c r="A5" s="56" t="n">
        <v>45474</v>
      </c>
      <c r="B5" s="34" t="n">
        <v>125171</v>
      </c>
      <c r="C5" s="34" t="n">
        <v>60760</v>
      </c>
      <c r="D5" s="34" t="n">
        <v>156891</v>
      </c>
      <c r="E5" s="34" t="n">
        <v>326643</v>
      </c>
      <c r="F5" s="34" t="n">
        <v>566246</v>
      </c>
      <c r="G5" s="34" t="n">
        <v>1056898</v>
      </c>
      <c r="H5" s="34" t="n">
        <v>1687952</v>
      </c>
      <c r="I5" s="34" t="n">
        <v>2320675</v>
      </c>
      <c r="J5" s="34" t="n">
        <v>3501862</v>
      </c>
      <c r="K5" s="34" t="n">
        <v>4470166</v>
      </c>
      <c r="L5" s="34" t="n">
        <v>5373127</v>
      </c>
      <c r="M5" s="34" t="n">
        <v>6291340</v>
      </c>
      <c r="N5" s="34" t="n">
        <v>7079453</v>
      </c>
      <c r="O5" s="34" t="n">
        <v>7796871</v>
      </c>
      <c r="P5" s="34" t="n">
        <v>8031436</v>
      </c>
    </row>
    <row r="6">
      <c r="A6" s="56" t="n">
        <v>45505</v>
      </c>
      <c r="B6" s="34" t="n">
        <v>80085</v>
      </c>
      <c r="C6" s="34" t="n">
        <v>37365</v>
      </c>
      <c r="D6" s="34" t="n">
        <v>124683</v>
      </c>
      <c r="E6" s="34" t="n">
        <v>253776</v>
      </c>
      <c r="F6" s="34" t="n">
        <v>431481</v>
      </c>
      <c r="G6" s="34" t="n">
        <v>770218</v>
      </c>
      <c r="H6" s="34" t="n">
        <v>1082769</v>
      </c>
      <c r="I6" s="34" t="n">
        <v>1461913</v>
      </c>
      <c r="J6" s="34" t="n">
        <v>2119548</v>
      </c>
      <c r="K6" s="34" t="n">
        <v>2755032</v>
      </c>
      <c r="L6" s="34" t="n">
        <v>3272536</v>
      </c>
      <c r="M6" s="34" t="n">
        <v>3741269</v>
      </c>
      <c r="N6" s="34" t="n">
        <v>4072597</v>
      </c>
      <c r="O6" s="34" t="n">
        <v>4204450</v>
      </c>
      <c r="P6" s="34" t="n">
        <v>4325732</v>
      </c>
    </row>
    <row r="7">
      <c r="A7" s="56" t="n">
        <v>45536</v>
      </c>
      <c r="B7" s="34" t="n">
        <v>39907</v>
      </c>
      <c r="C7" s="34" t="n">
        <v>18875</v>
      </c>
      <c r="D7" s="34" t="n">
        <v>57315</v>
      </c>
      <c r="E7" s="34" t="n">
        <v>151334</v>
      </c>
      <c r="F7" s="34" t="n">
        <v>280334</v>
      </c>
      <c r="G7" s="34" t="n">
        <v>511651</v>
      </c>
      <c r="H7" s="34" t="n">
        <v>748216</v>
      </c>
      <c r="I7" s="34" t="n">
        <v>1010374</v>
      </c>
      <c r="J7" s="34" t="n">
        <v>1450773</v>
      </c>
      <c r="K7" s="34" t="n">
        <v>1791244</v>
      </c>
      <c r="L7" s="34" t="n">
        <v>2070418</v>
      </c>
      <c r="M7" s="34" t="n">
        <v>2285258</v>
      </c>
      <c r="N7" s="34" t="n">
        <v>2358202</v>
      </c>
      <c r="O7" s="34" t="n">
        <v>2428248</v>
      </c>
      <c r="P7" s="34" t="n">
        <v>2498293</v>
      </c>
    </row>
    <row r="8">
      <c r="A8" s="56" t="n">
        <v>45566</v>
      </c>
      <c r="B8" s="34" t="n">
        <v>50453</v>
      </c>
      <c r="C8" s="34" t="n">
        <v>40816</v>
      </c>
      <c r="D8" s="34" t="n">
        <v>108992</v>
      </c>
      <c r="E8" s="34" t="n">
        <v>275296</v>
      </c>
      <c r="F8" s="34" t="n">
        <v>510205</v>
      </c>
      <c r="G8" s="34" t="n">
        <v>1107965</v>
      </c>
      <c r="H8" s="34" t="n">
        <v>1753770</v>
      </c>
      <c r="I8" s="34" t="n">
        <v>2488931</v>
      </c>
      <c r="J8" s="34" t="n">
        <v>3808532</v>
      </c>
      <c r="K8" s="34" t="n">
        <v>4798447</v>
      </c>
      <c r="L8" s="34" t="n">
        <v>5653846</v>
      </c>
      <c r="M8" s="34" t="n">
        <v>5857028</v>
      </c>
      <c r="N8" s="34" t="n">
        <v>6036325</v>
      </c>
      <c r="O8" s="34" t="n">
        <v>6215622</v>
      </c>
      <c r="P8" s="34" t="n">
        <v>6394919</v>
      </c>
    </row>
    <row r="9">
      <c r="A9" s="56" t="n">
        <v>45597</v>
      </c>
      <c r="B9" s="34" t="n">
        <v>30334</v>
      </c>
      <c r="C9" s="34" t="n">
        <v>15272</v>
      </c>
      <c r="D9" s="34" t="n">
        <v>41873</v>
      </c>
      <c r="E9" s="34" t="n">
        <v>86780</v>
      </c>
      <c r="F9" s="34" t="n">
        <v>140792</v>
      </c>
      <c r="G9" s="34" t="n">
        <v>236236</v>
      </c>
      <c r="H9" s="34" t="n">
        <v>318260</v>
      </c>
      <c r="I9" s="34" t="n">
        <v>400333</v>
      </c>
      <c r="J9" s="34" t="n">
        <v>575599</v>
      </c>
      <c r="K9" s="34" t="n">
        <v>695134</v>
      </c>
      <c r="L9" s="34" t="n">
        <v>721882</v>
      </c>
      <c r="M9" s="34" t="n">
        <v>744678</v>
      </c>
      <c r="N9" s="34" t="n">
        <v>767474</v>
      </c>
      <c r="O9" s="34" t="n">
        <v>790271</v>
      </c>
      <c r="P9" s="34" t="n">
        <v>813067</v>
      </c>
    </row>
    <row r="10">
      <c r="A10" s="56" t="n">
        <v>45627</v>
      </c>
      <c r="B10" s="34" t="n">
        <v>35761</v>
      </c>
      <c r="C10" s="34" t="n">
        <v>27632</v>
      </c>
      <c r="D10" s="34" t="n">
        <v>70678</v>
      </c>
      <c r="E10" s="34" t="n">
        <v>142090</v>
      </c>
      <c r="F10" s="34" t="n">
        <v>265000</v>
      </c>
      <c r="G10" s="34" t="n">
        <v>482492</v>
      </c>
      <c r="H10" s="34" t="n">
        <v>687010</v>
      </c>
      <c r="I10" s="34" t="n">
        <v>954601</v>
      </c>
      <c r="J10" s="34" t="n">
        <v>1408777</v>
      </c>
      <c r="K10" s="34" t="n">
        <v>1459683</v>
      </c>
      <c r="L10" s="34" t="n">
        <v>1507281</v>
      </c>
      <c r="M10" s="34" t="n">
        <v>1554880</v>
      </c>
      <c r="N10" s="34" t="n">
        <v>1602478</v>
      </c>
      <c r="O10" s="34" t="n">
        <v>1650076</v>
      </c>
      <c r="P10" s="34" t="n">
        <v>1697675</v>
      </c>
    </row>
    <row r="11">
      <c r="A11" s="56" t="n">
        <v>45658</v>
      </c>
      <c r="B11" s="34" t="n">
        <v>26203</v>
      </c>
      <c r="C11" s="34" t="n">
        <v>12945</v>
      </c>
      <c r="D11" s="34" t="n">
        <v>39450</v>
      </c>
      <c r="E11" s="34" t="n">
        <v>90577</v>
      </c>
      <c r="F11" s="34" t="n">
        <v>161452</v>
      </c>
      <c r="G11" s="34" t="n">
        <v>271205</v>
      </c>
      <c r="H11" s="34" t="n">
        <v>375287</v>
      </c>
      <c r="I11" s="34" t="n">
        <v>443021</v>
      </c>
      <c r="J11" s="34" t="n">
        <v>461478</v>
      </c>
      <c r="K11" s="34" t="n">
        <v>477033</v>
      </c>
      <c r="L11" s="34" t="n">
        <v>492589</v>
      </c>
      <c r="M11" s="34" t="n">
        <v>508144</v>
      </c>
      <c r="N11" s="34" t="n">
        <v>523700</v>
      </c>
      <c r="O11" s="34" t="n">
        <v>539255</v>
      </c>
      <c r="P11" s="34" t="n">
        <v>554811</v>
      </c>
    </row>
    <row r="12">
      <c r="A12" s="56" t="n">
        <v>45689</v>
      </c>
      <c r="B12" s="34" t="n">
        <v>80110</v>
      </c>
      <c r="C12" s="34" t="n">
        <v>37690</v>
      </c>
      <c r="D12" s="34" t="n">
        <v>85784</v>
      </c>
      <c r="E12" s="34" t="n">
        <v>171222</v>
      </c>
      <c r="F12" s="34" t="n">
        <v>229646</v>
      </c>
      <c r="G12" s="34" t="n">
        <v>275369</v>
      </c>
      <c r="H12" s="34" t="n">
        <v>280387</v>
      </c>
      <c r="I12" s="34" t="n">
        <v>285364</v>
      </c>
      <c r="J12" s="34" t="n">
        <v>295319</v>
      </c>
      <c r="K12" s="34" t="n">
        <v>305273</v>
      </c>
      <c r="L12" s="34" t="n">
        <v>315228</v>
      </c>
      <c r="M12" s="34" t="n">
        <v>325183</v>
      </c>
      <c r="N12" s="34" t="n">
        <v>335137</v>
      </c>
      <c r="O12" s="34" t="n">
        <v>345092</v>
      </c>
      <c r="P12" s="34" t="n">
        <v>355046</v>
      </c>
    </row>
    <row r="13"/>
    <row r="14">
      <c r="A14" s="27" t="inlineStr">
        <is>
          <t>分月LTV</t>
        </is>
      </c>
    </row>
    <row r="15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</row>
    <row r="16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</row>
    <row r="17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</row>
    <row r="18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</row>
    <row r="19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</row>
    <row r="20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</row>
    <row r="2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</row>
    <row r="22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</row>
    <row r="23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</row>
    <row r="24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</row>
    <row r="25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</row>
    <row r="26"/>
    <row r="27">
      <c r="A27" s="28" t="inlineStr">
        <is>
          <t>分月倍率</t>
        </is>
      </c>
    </row>
    <row r="28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</row>
    <row r="29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</row>
    <row r="30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</row>
    <row r="3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</row>
    <row r="32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</row>
    <row r="33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</row>
    <row r="34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</row>
    <row r="35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</row>
    <row r="36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</row>
    <row r="37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</row>
    <row r="38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</row>
    <row r="39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</row>
    <row r="40"/>
    <row r="41">
      <c r="A41" s="27" t="inlineStr">
        <is>
          <t>分月增长率</t>
        </is>
      </c>
    </row>
    <row r="42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</row>
    <row r="44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</row>
    <row r="45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</row>
    <row r="46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</row>
    <row r="47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</row>
    <row r="48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</row>
    <row r="49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</row>
    <row r="50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</row>
    <row r="5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</row>
    <row r="52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</row>
    <row r="53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/>
    <row r="55">
      <c r="A55" s="29" t="inlineStr">
        <is>
          <t>Channel_B-整体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0.011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0.01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0.008999999999999999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0" workbookViewId="0">
      <selection activeCell="A55" sqref="A55:R62"/>
    </sheetView>
  </sheetViews>
  <sheetFormatPr baseColWidth="8" defaultRowHeight="13.9"/>
  <cols>
    <col width="11.53125" bestFit="1" customWidth="1" min="1" max="1"/>
    <col width="9.1328125" bestFit="1" customWidth="1" min="2" max="5"/>
    <col width="10.19921875" bestFit="1" customWidth="1" min="6" max="12"/>
    <col width="11.3984375" bestFit="1" customWidth="1" min="13" max="16"/>
  </cols>
  <sheetData>
    <row r="1" ht="14.25" customHeight="1">
      <c r="A1" s="27" t="inlineStr">
        <is>
          <t>分月付费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  <c r="Q2" s="7" t="n"/>
    </row>
    <row r="3" ht="14.25" customHeight="1">
      <c r="A3" s="56" t="n">
        <v>45413</v>
      </c>
      <c r="B3" s="34" t="n">
        <v>37367</v>
      </c>
      <c r="C3" s="34" t="n">
        <v>22044</v>
      </c>
      <c r="D3" s="34" t="n">
        <v>68843</v>
      </c>
      <c r="E3" s="34" t="n">
        <v>167554</v>
      </c>
      <c r="F3" s="34" t="n">
        <v>321391</v>
      </c>
      <c r="G3" s="34" t="n">
        <v>665920</v>
      </c>
      <c r="H3" s="34" t="n">
        <v>921661</v>
      </c>
      <c r="I3" s="34" t="n">
        <v>1225955</v>
      </c>
      <c r="J3" s="34" t="n">
        <v>1727656</v>
      </c>
      <c r="K3" s="34" t="n">
        <v>2251964</v>
      </c>
      <c r="L3" s="34" t="n">
        <v>2657188</v>
      </c>
      <c r="M3" s="34" t="n">
        <v>3046670</v>
      </c>
      <c r="N3" s="34" t="n">
        <v>3391226</v>
      </c>
      <c r="O3" s="34" t="n">
        <v>3862347</v>
      </c>
      <c r="P3" s="34" t="n">
        <v>4198677</v>
      </c>
      <c r="Q3" s="7" t="n"/>
      <c r="R3" s="34" t="n"/>
    </row>
    <row r="4" ht="14.25" customHeight="1">
      <c r="A4" s="56" t="n">
        <v>45444</v>
      </c>
      <c r="B4" s="34" t="n">
        <v>86712</v>
      </c>
      <c r="C4" s="34" t="n">
        <v>65229</v>
      </c>
      <c r="D4" s="34" t="n">
        <v>185788</v>
      </c>
      <c r="E4" s="34" t="n">
        <v>366316</v>
      </c>
      <c r="F4" s="34" t="n">
        <v>623186</v>
      </c>
      <c r="G4" s="34" t="n">
        <v>1133824</v>
      </c>
      <c r="H4" s="34" t="n">
        <v>1603668</v>
      </c>
      <c r="I4" s="34" t="n">
        <v>2110869</v>
      </c>
      <c r="J4" s="34" t="n">
        <v>2969718</v>
      </c>
      <c r="K4" s="34" t="n">
        <v>3823982</v>
      </c>
      <c r="L4" s="34" t="n">
        <v>4457209</v>
      </c>
      <c r="M4" s="34" t="n">
        <v>5207155</v>
      </c>
      <c r="N4" s="34" t="n">
        <v>5894626</v>
      </c>
      <c r="O4" s="34" t="n">
        <v>6570739</v>
      </c>
      <c r="P4" s="34" t="n">
        <v>7158808</v>
      </c>
      <c r="Q4" s="7" t="n"/>
      <c r="R4" s="34" t="n"/>
    </row>
    <row r="5" ht="14.25" customHeight="1">
      <c r="A5" s="56" t="n">
        <v>45474</v>
      </c>
      <c r="B5" s="34" t="n">
        <v>107065</v>
      </c>
      <c r="C5" s="34" t="n">
        <v>47933</v>
      </c>
      <c r="D5" s="34" t="n">
        <v>121898</v>
      </c>
      <c r="E5" s="34" t="n">
        <v>255593</v>
      </c>
      <c r="F5" s="34" t="n">
        <v>454125</v>
      </c>
      <c r="G5" s="34" t="n">
        <v>865371</v>
      </c>
      <c r="H5" s="34" t="n">
        <v>1385389</v>
      </c>
      <c r="I5" s="34" t="n">
        <v>1906591</v>
      </c>
      <c r="J5" s="34" t="n">
        <v>2792066</v>
      </c>
      <c r="K5" s="34" t="n">
        <v>3526952</v>
      </c>
      <c r="L5" s="34" t="n">
        <v>4195844</v>
      </c>
      <c r="M5" s="34" t="n">
        <v>4881557</v>
      </c>
      <c r="N5" s="34" t="n">
        <v>5508202</v>
      </c>
      <c r="O5" s="34" t="n">
        <v>6046912</v>
      </c>
      <c r="P5" s="34" t="n">
        <v>6228877</v>
      </c>
      <c r="Q5" s="7" t="n"/>
      <c r="R5" s="34" t="n"/>
    </row>
    <row r="6" ht="14.25" customHeight="1">
      <c r="A6" s="56" t="n">
        <v>45505</v>
      </c>
      <c r="B6" s="34" t="n">
        <v>66613</v>
      </c>
      <c r="C6" s="34" t="n">
        <v>28816</v>
      </c>
      <c r="D6" s="34" t="n">
        <v>104792</v>
      </c>
      <c r="E6" s="34" t="n">
        <v>215843</v>
      </c>
      <c r="F6" s="34" t="n">
        <v>371154</v>
      </c>
      <c r="G6" s="34" t="n">
        <v>655343</v>
      </c>
      <c r="H6" s="34" t="n">
        <v>930041</v>
      </c>
      <c r="I6" s="34" t="n">
        <v>1268513</v>
      </c>
      <c r="J6" s="34" t="n">
        <v>1830645</v>
      </c>
      <c r="K6" s="34" t="n">
        <v>2357298</v>
      </c>
      <c r="L6" s="34" t="n">
        <v>2769307</v>
      </c>
      <c r="M6" s="34" t="n">
        <v>3140949</v>
      </c>
      <c r="N6" s="34" t="n">
        <v>3408352</v>
      </c>
      <c r="O6" s="34" t="n">
        <v>3519521</v>
      </c>
      <c r="P6" s="34" t="n">
        <v>3621046</v>
      </c>
      <c r="Q6" s="7" t="n"/>
      <c r="R6" s="34" t="n"/>
    </row>
    <row r="7" ht="14.25" customHeight="1">
      <c r="A7" s="56" t="n">
        <v>45536</v>
      </c>
      <c r="B7" s="34" t="n">
        <v>33127</v>
      </c>
      <c r="C7" s="34" t="n">
        <v>13652</v>
      </c>
      <c r="D7" s="34" t="n">
        <v>43596</v>
      </c>
      <c r="E7" s="34" t="n">
        <v>125018</v>
      </c>
      <c r="F7" s="34" t="n">
        <v>219305</v>
      </c>
      <c r="G7" s="34" t="n">
        <v>402166</v>
      </c>
      <c r="H7" s="34" t="n">
        <v>595281</v>
      </c>
      <c r="I7" s="34" t="n">
        <v>814176</v>
      </c>
      <c r="J7" s="34" t="n">
        <v>1190383</v>
      </c>
      <c r="K7" s="34" t="n">
        <v>1473804</v>
      </c>
      <c r="L7" s="34" t="n">
        <v>1702349</v>
      </c>
      <c r="M7" s="34" t="n">
        <v>1885276</v>
      </c>
      <c r="N7" s="34" t="n">
        <v>1945737</v>
      </c>
      <c r="O7" s="34" t="n">
        <v>2003531</v>
      </c>
      <c r="P7" s="34" t="n">
        <v>2061326</v>
      </c>
      <c r="Q7" s="7" t="n"/>
      <c r="R7" s="34" t="n"/>
    </row>
    <row r="8" ht="14.25" customHeight="1">
      <c r="A8" s="56" t="n">
        <v>45566</v>
      </c>
      <c r="B8" s="34" t="n">
        <v>40181</v>
      </c>
      <c r="C8" s="34" t="n">
        <v>30292</v>
      </c>
      <c r="D8" s="34" t="n">
        <v>83616</v>
      </c>
      <c r="E8" s="34" t="n">
        <v>214383</v>
      </c>
      <c r="F8" s="34" t="n">
        <v>405822</v>
      </c>
      <c r="G8" s="34" t="n">
        <v>909069</v>
      </c>
      <c r="H8" s="34" t="n">
        <v>1423246</v>
      </c>
      <c r="I8" s="34" t="n">
        <v>2022708</v>
      </c>
      <c r="J8" s="34" t="n">
        <v>3061584</v>
      </c>
      <c r="K8" s="34" t="n">
        <v>3837034</v>
      </c>
      <c r="L8" s="34" t="n">
        <v>4488241</v>
      </c>
      <c r="M8" s="34" t="n">
        <v>4644569</v>
      </c>
      <c r="N8" s="34" t="n">
        <v>4786750</v>
      </c>
      <c r="O8" s="34" t="n">
        <v>4928930</v>
      </c>
      <c r="P8" s="34" t="n">
        <v>5071111</v>
      </c>
      <c r="Q8" s="7" t="n"/>
      <c r="R8" s="34" t="n"/>
    </row>
    <row r="9" ht="14.25" customHeight="1">
      <c r="A9" s="56" t="n">
        <v>45597</v>
      </c>
      <c r="B9" s="34" t="n">
        <v>24229</v>
      </c>
      <c r="C9" s="34" t="n">
        <v>10567</v>
      </c>
      <c r="D9" s="34" t="n">
        <v>26570</v>
      </c>
      <c r="E9" s="34" t="n">
        <v>52981</v>
      </c>
      <c r="F9" s="34" t="n">
        <v>86033</v>
      </c>
      <c r="G9" s="34" t="n">
        <v>140967</v>
      </c>
      <c r="H9" s="34" t="n">
        <v>204087</v>
      </c>
      <c r="I9" s="34" t="n">
        <v>267989</v>
      </c>
      <c r="J9" s="34" t="n">
        <v>411784</v>
      </c>
      <c r="K9" s="34" t="n">
        <v>506512</v>
      </c>
      <c r="L9" s="34" t="n">
        <v>526609</v>
      </c>
      <c r="M9" s="34" t="n">
        <v>543238</v>
      </c>
      <c r="N9" s="34" t="n">
        <v>559868</v>
      </c>
      <c r="O9" s="34" t="n">
        <v>576498</v>
      </c>
      <c r="P9" s="34" t="n">
        <v>593128</v>
      </c>
      <c r="Q9" s="7" t="n"/>
      <c r="R9" s="34" t="n"/>
    </row>
    <row r="10" ht="14.25" customHeight="1">
      <c r="A10" s="56" t="n">
        <v>45627</v>
      </c>
      <c r="B10" s="34" t="n">
        <v>28418</v>
      </c>
      <c r="C10" s="34" t="n">
        <v>20964</v>
      </c>
      <c r="D10" s="34" t="n">
        <v>50856</v>
      </c>
      <c r="E10" s="34" t="n">
        <v>97712</v>
      </c>
      <c r="F10" s="34" t="n">
        <v>189741</v>
      </c>
      <c r="G10" s="34" t="n">
        <v>344128</v>
      </c>
      <c r="H10" s="34" t="n">
        <v>477393</v>
      </c>
      <c r="I10" s="34" t="n">
        <v>661471</v>
      </c>
      <c r="J10" s="34" t="n">
        <v>982969</v>
      </c>
      <c r="K10" s="34" t="n">
        <v>1016884</v>
      </c>
      <c r="L10" s="34" t="n">
        <v>1050043</v>
      </c>
      <c r="M10" s="34" t="n">
        <v>1083202</v>
      </c>
      <c r="N10" s="34" t="n">
        <v>1116362</v>
      </c>
      <c r="O10" s="34" t="n">
        <v>1149521</v>
      </c>
      <c r="P10" s="34" t="n">
        <v>1182680</v>
      </c>
      <c r="Q10" s="7" t="n"/>
      <c r="R10" s="34" t="n"/>
    </row>
    <row r="11" ht="14.25" customHeight="1">
      <c r="A11" s="56" t="n">
        <v>45658</v>
      </c>
      <c r="B11" s="34" t="n">
        <v>20413</v>
      </c>
      <c r="C11" s="34" t="n">
        <v>8290</v>
      </c>
      <c r="D11" s="34" t="n">
        <v>28727</v>
      </c>
      <c r="E11" s="34" t="n">
        <v>61904</v>
      </c>
      <c r="F11" s="34" t="n">
        <v>115122</v>
      </c>
      <c r="G11" s="34" t="n">
        <v>192877</v>
      </c>
      <c r="H11" s="34" t="n">
        <v>265852</v>
      </c>
      <c r="I11" s="34" t="n">
        <v>314873</v>
      </c>
      <c r="J11" s="34" t="n">
        <v>327230</v>
      </c>
      <c r="K11" s="34" t="n">
        <v>338260</v>
      </c>
      <c r="L11" s="34" t="n">
        <v>349290</v>
      </c>
      <c r="M11" s="34" t="n">
        <v>360321</v>
      </c>
      <c r="N11" s="34" t="n">
        <v>371351</v>
      </c>
      <c r="O11" s="34" t="n">
        <v>382381</v>
      </c>
      <c r="P11" s="34" t="n">
        <v>393411</v>
      </c>
      <c r="Q11" s="7" t="n"/>
      <c r="R11" s="34" t="n"/>
    </row>
    <row r="12" ht="14.25" customHeight="1">
      <c r="A12" s="56" t="n">
        <v>45689</v>
      </c>
      <c r="B12" s="34" t="n">
        <v>65533</v>
      </c>
      <c r="C12" s="34" t="n">
        <v>30253</v>
      </c>
      <c r="D12" s="34" t="n">
        <v>68383</v>
      </c>
      <c r="E12" s="34" t="n">
        <v>135034</v>
      </c>
      <c r="F12" s="34" t="n">
        <v>177414</v>
      </c>
      <c r="G12" s="34" t="n">
        <v>211209</v>
      </c>
      <c r="H12" s="34" t="n">
        <v>215055</v>
      </c>
      <c r="I12" s="34" t="n">
        <v>218872</v>
      </c>
      <c r="J12" s="34" t="n">
        <v>226507</v>
      </c>
      <c r="K12" s="34" t="n">
        <v>234142</v>
      </c>
      <c r="L12" s="34" t="n">
        <v>241777</v>
      </c>
      <c r="M12" s="34" t="n">
        <v>249412</v>
      </c>
      <c r="N12" s="34" t="n">
        <v>257048</v>
      </c>
      <c r="O12" s="34" t="n">
        <v>264683</v>
      </c>
      <c r="P12" s="34" t="n">
        <v>272318</v>
      </c>
      <c r="Q12" s="7" t="n"/>
      <c r="R12" s="34" t="n"/>
    </row>
    <row r="13" ht="14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4.25" customHeight="1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  <c r="P15" s="7" t="n"/>
      <c r="Q15" s="7" t="n"/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  <c r="P16" s="7" t="n"/>
      <c r="Q16" s="7" t="n"/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  <c r="P17" s="7" t="n"/>
      <c r="Q17" s="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  <c r="P18" s="7" t="n"/>
      <c r="Q18" s="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  <c r="P19" s="7" t="n"/>
      <c r="Q19" s="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  <c r="P20" s="7" t="n"/>
      <c r="Q20" s="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  <c r="P21" s="7" t="n"/>
      <c r="Q21" s="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  <c r="P22" s="7" t="n"/>
      <c r="Q22" s="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  <c r="P23" s="7" t="n"/>
      <c r="Q23" s="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7" t="n"/>
      <c r="Q24" s="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7" t="n"/>
      <c r="Q25" s="7" t="n"/>
    </row>
    <row r="26" ht="14.2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4.25" customHeight="1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  <c r="O28" s="7" t="n"/>
      <c r="P28" s="7" t="n"/>
      <c r="Q28" s="7" t="n"/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  <c r="O29" s="7" t="n"/>
      <c r="P29" s="7" t="n"/>
      <c r="Q29" s="7" t="n"/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  <c r="O30" s="7" t="n"/>
      <c r="P30" s="7" t="n"/>
      <c r="Q30" s="7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  <c r="O31" s="7" t="n"/>
      <c r="P31" s="7" t="n"/>
      <c r="Q31" s="7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  <c r="O32" s="7" t="n"/>
      <c r="P32" s="7" t="n"/>
      <c r="Q32" s="7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  <c r="O33" s="7" t="n"/>
      <c r="P33" s="7" t="n"/>
      <c r="Q33" s="7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  <c r="O34" s="7" t="n"/>
      <c r="P34" s="7" t="n"/>
      <c r="Q34" s="7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  <c r="O35" s="7" t="n"/>
      <c r="P35" s="7" t="n"/>
      <c r="Q35" s="7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  <c r="O36" s="7" t="n"/>
      <c r="P36" s="7" t="n"/>
      <c r="Q36" s="7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7" t="n"/>
      <c r="P37" s="7" t="n"/>
      <c r="Q37" s="7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7" t="n"/>
      <c r="P38" s="7" t="n"/>
      <c r="Q38" s="7" t="n"/>
    </row>
    <row r="39" ht="14.25" customHeight="1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  <c r="O39" s="7" t="n"/>
      <c r="P39" s="7" t="n"/>
      <c r="Q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  <c r="Q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  <c r="Q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  <c r="Q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  <c r="Q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  <c r="Q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  <c r="Q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  <c r="Q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  <c r="Q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  <c r="Q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  <c r="Q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29" t="inlineStr">
        <is>
          <t>Channel_B-新用户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0.011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0.01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0.008999999999999999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3" workbookViewId="0">
      <selection activeCell="A55" sqref="A55:R62"/>
    </sheetView>
  </sheetViews>
  <sheetFormatPr baseColWidth="8" defaultRowHeight="13.9"/>
  <cols>
    <col width="11.53125" bestFit="1" customWidth="1" min="1" max="1"/>
  </cols>
  <sheetData>
    <row r="1" ht="14.25" customHeight="1">
      <c r="A1" s="27" t="inlineStr">
        <is>
          <t>分月付费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  <c r="Q2" s="7" t="n"/>
    </row>
    <row r="3" ht="14.25" customHeight="1">
      <c r="A3" s="56" t="n">
        <v>45413</v>
      </c>
      <c r="B3" s="34" t="n">
        <v>8387</v>
      </c>
      <c r="C3" s="34" t="n">
        <v>5667</v>
      </c>
      <c r="D3" s="34" t="n">
        <v>21238</v>
      </c>
      <c r="E3" s="34" t="n">
        <v>41949</v>
      </c>
      <c r="F3" s="34" t="n">
        <v>71569</v>
      </c>
      <c r="G3" s="34" t="n">
        <v>120070</v>
      </c>
      <c r="H3" s="34" t="n">
        <v>148531</v>
      </c>
      <c r="I3" s="34" t="n">
        <v>183859</v>
      </c>
      <c r="J3" s="34" t="n">
        <v>227115</v>
      </c>
      <c r="K3" s="34" t="n">
        <v>255408</v>
      </c>
      <c r="L3" s="34" t="n">
        <v>280548</v>
      </c>
      <c r="M3" s="34" t="n">
        <v>308040</v>
      </c>
      <c r="N3" s="34" t="n">
        <v>332531</v>
      </c>
      <c r="O3" s="34" t="n">
        <v>356649</v>
      </c>
      <c r="P3" s="34" t="n">
        <v>373221</v>
      </c>
      <c r="Q3" s="7" t="n"/>
    </row>
    <row r="4" ht="14.25" customHeight="1">
      <c r="A4" s="56" t="n">
        <v>45444</v>
      </c>
      <c r="B4" s="34" t="n">
        <v>16603</v>
      </c>
      <c r="C4" s="34" t="n">
        <v>15858</v>
      </c>
      <c r="D4" s="34" t="n">
        <v>38067</v>
      </c>
      <c r="E4" s="34" t="n">
        <v>74116</v>
      </c>
      <c r="F4" s="34" t="n">
        <v>121476</v>
      </c>
      <c r="G4" s="34" t="n">
        <v>212049</v>
      </c>
      <c r="H4" s="34" t="n">
        <v>302257</v>
      </c>
      <c r="I4" s="34" t="n">
        <v>382240</v>
      </c>
      <c r="J4" s="34" t="n">
        <v>532808</v>
      </c>
      <c r="K4" s="34" t="n">
        <v>689208</v>
      </c>
      <c r="L4" s="34" t="n">
        <v>779533</v>
      </c>
      <c r="M4" s="34" t="n">
        <v>902560</v>
      </c>
      <c r="N4" s="34" t="n">
        <v>1010400</v>
      </c>
      <c r="O4" s="34" t="n">
        <v>1112424</v>
      </c>
      <c r="P4" s="34" t="n">
        <v>1210421</v>
      </c>
      <c r="Q4" s="7" t="n"/>
    </row>
    <row r="5" ht="14.25" customHeight="1">
      <c r="A5" s="56" t="n">
        <v>45474</v>
      </c>
      <c r="B5" s="34" t="n">
        <v>18107</v>
      </c>
      <c r="C5" s="34" t="n">
        <v>12828</v>
      </c>
      <c r="D5" s="34" t="n">
        <v>34993</v>
      </c>
      <c r="E5" s="34" t="n">
        <v>71050</v>
      </c>
      <c r="F5" s="34" t="n">
        <v>112121</v>
      </c>
      <c r="G5" s="34" t="n">
        <v>191527</v>
      </c>
      <c r="H5" s="34" t="n">
        <v>302563</v>
      </c>
      <c r="I5" s="34" t="n">
        <v>414084</v>
      </c>
      <c r="J5" s="34" t="n">
        <v>709796</v>
      </c>
      <c r="K5" s="34" t="n">
        <v>943214</v>
      </c>
      <c r="L5" s="34" t="n">
        <v>1177284</v>
      </c>
      <c r="M5" s="34" t="n">
        <v>1409783</v>
      </c>
      <c r="N5" s="34" t="n">
        <v>1571251</v>
      </c>
      <c r="O5" s="34" t="n">
        <v>1749959</v>
      </c>
      <c r="P5" s="34" t="n">
        <v>1802559</v>
      </c>
      <c r="Q5" s="7" t="n"/>
    </row>
    <row r="6" ht="14.25" customHeight="1">
      <c r="A6" s="56" t="n">
        <v>45505</v>
      </c>
      <c r="B6" s="34" t="n">
        <v>13472</v>
      </c>
      <c r="C6" s="34" t="n">
        <v>8549</v>
      </c>
      <c r="D6" s="34" t="n">
        <v>19890</v>
      </c>
      <c r="E6" s="34" t="n">
        <v>37933</v>
      </c>
      <c r="F6" s="34" t="n">
        <v>60327</v>
      </c>
      <c r="G6" s="34" t="n">
        <v>114874</v>
      </c>
      <c r="H6" s="34" t="n">
        <v>152728</v>
      </c>
      <c r="I6" s="34" t="n">
        <v>193400</v>
      </c>
      <c r="J6" s="34" t="n">
        <v>288903</v>
      </c>
      <c r="K6" s="34" t="n">
        <v>397734</v>
      </c>
      <c r="L6" s="34" t="n">
        <v>503229</v>
      </c>
      <c r="M6" s="34" t="n">
        <v>600320</v>
      </c>
      <c r="N6" s="34" t="n">
        <v>664245</v>
      </c>
      <c r="O6" s="34" t="n">
        <v>684928</v>
      </c>
      <c r="P6" s="34" t="n">
        <v>704686</v>
      </c>
      <c r="Q6" s="7" t="n"/>
    </row>
    <row r="7" ht="14.25" customHeight="1">
      <c r="A7" s="56" t="n">
        <v>45536</v>
      </c>
      <c r="B7" s="34" t="n">
        <v>6780</v>
      </c>
      <c r="C7" s="34" t="n">
        <v>5223</v>
      </c>
      <c r="D7" s="34" t="n">
        <v>13719</v>
      </c>
      <c r="E7" s="34" t="n">
        <v>26316</v>
      </c>
      <c r="F7" s="34" t="n">
        <v>61029</v>
      </c>
      <c r="G7" s="34" t="n">
        <v>109485</v>
      </c>
      <c r="H7" s="34" t="n">
        <v>152935</v>
      </c>
      <c r="I7" s="34" t="n">
        <v>196198</v>
      </c>
      <c r="J7" s="34" t="n">
        <v>260391</v>
      </c>
      <c r="K7" s="34" t="n">
        <v>317440</v>
      </c>
      <c r="L7" s="34" t="n">
        <v>368069</v>
      </c>
      <c r="M7" s="34" t="n">
        <v>399981</v>
      </c>
      <c r="N7" s="34" t="n">
        <v>412465</v>
      </c>
      <c r="O7" s="34" t="n">
        <v>424716</v>
      </c>
      <c r="P7" s="34" t="n">
        <v>436968</v>
      </c>
      <c r="Q7" s="7" t="n"/>
    </row>
    <row r="8" ht="14.25" customHeight="1">
      <c r="A8" s="56" t="n">
        <v>45566</v>
      </c>
      <c r="B8" s="34" t="n">
        <v>10272</v>
      </c>
      <c r="C8" s="34" t="n">
        <v>10524</v>
      </c>
      <c r="D8" s="34" t="n">
        <v>25376</v>
      </c>
      <c r="E8" s="34" t="n">
        <v>60913</v>
      </c>
      <c r="F8" s="34" t="n">
        <v>104384</v>
      </c>
      <c r="G8" s="34" t="n">
        <v>198896</v>
      </c>
      <c r="H8" s="34" t="n">
        <v>330524</v>
      </c>
      <c r="I8" s="34" t="n">
        <v>466223</v>
      </c>
      <c r="J8" s="34" t="n">
        <v>746948</v>
      </c>
      <c r="K8" s="34" t="n">
        <v>961413</v>
      </c>
      <c r="L8" s="34" t="n">
        <v>1165604</v>
      </c>
      <c r="M8" s="34" t="n">
        <v>1212459</v>
      </c>
      <c r="N8" s="34" t="n">
        <v>1249576</v>
      </c>
      <c r="O8" s="34" t="n">
        <v>1286692</v>
      </c>
      <c r="P8" s="34" t="n">
        <v>1323808</v>
      </c>
      <c r="Q8" s="7" t="n"/>
    </row>
    <row r="9" ht="14.25" customHeight="1">
      <c r="A9" s="56" t="n">
        <v>45597</v>
      </c>
      <c r="B9" s="34" t="n">
        <v>6105</v>
      </c>
      <c r="C9" s="34" t="n">
        <v>4705</v>
      </c>
      <c r="D9" s="34" t="n">
        <v>15302</v>
      </c>
      <c r="E9" s="34" t="n">
        <v>33798</v>
      </c>
      <c r="F9" s="34" t="n">
        <v>54760</v>
      </c>
      <c r="G9" s="34" t="n">
        <v>95269</v>
      </c>
      <c r="H9" s="34" t="n">
        <v>114173</v>
      </c>
      <c r="I9" s="34" t="n">
        <v>132344</v>
      </c>
      <c r="J9" s="34" t="n">
        <v>163815</v>
      </c>
      <c r="K9" s="34" t="n">
        <v>188623</v>
      </c>
      <c r="L9" s="34" t="n">
        <v>195273</v>
      </c>
      <c r="M9" s="34" t="n">
        <v>201439</v>
      </c>
      <c r="N9" s="34" t="n">
        <v>207606</v>
      </c>
      <c r="O9" s="34" t="n">
        <v>213773</v>
      </c>
      <c r="P9" s="34" t="n">
        <v>219939</v>
      </c>
      <c r="Q9" s="7" t="n"/>
    </row>
    <row r="10" ht="14.25" customHeight="1">
      <c r="A10" s="56" t="n">
        <v>45627</v>
      </c>
      <c r="B10" s="34" t="n">
        <v>7343</v>
      </c>
      <c r="C10" s="34" t="n">
        <v>6668</v>
      </c>
      <c r="D10" s="34" t="n">
        <v>19822</v>
      </c>
      <c r="E10" s="34" t="n">
        <v>44378</v>
      </c>
      <c r="F10" s="34" t="n">
        <v>75259</v>
      </c>
      <c r="G10" s="34" t="n">
        <v>138365</v>
      </c>
      <c r="H10" s="34" t="n">
        <v>209617</v>
      </c>
      <c r="I10" s="34" t="n">
        <v>293130</v>
      </c>
      <c r="J10" s="34" t="n">
        <v>425808</v>
      </c>
      <c r="K10" s="34" t="n">
        <v>442799</v>
      </c>
      <c r="L10" s="34" t="n">
        <v>457238</v>
      </c>
      <c r="M10" s="34" t="n">
        <v>471677</v>
      </c>
      <c r="N10" s="34" t="n">
        <v>486117</v>
      </c>
      <c r="O10" s="34" t="n">
        <v>500556</v>
      </c>
      <c r="P10" s="34" t="n">
        <v>514995</v>
      </c>
      <c r="Q10" s="7" t="n"/>
    </row>
    <row r="11" ht="14.25" customHeight="1">
      <c r="A11" s="56" t="n">
        <v>45658</v>
      </c>
      <c r="B11" s="34" t="n">
        <v>5790</v>
      </c>
      <c r="C11" s="34" t="n">
        <v>4655</v>
      </c>
      <c r="D11" s="34" t="n">
        <v>10723</v>
      </c>
      <c r="E11" s="34" t="n">
        <v>28673</v>
      </c>
      <c r="F11" s="34" t="n">
        <v>46330</v>
      </c>
      <c r="G11" s="34" t="n">
        <v>78328</v>
      </c>
      <c r="H11" s="34" t="n">
        <v>109435</v>
      </c>
      <c r="I11" s="34" t="n">
        <v>128149</v>
      </c>
      <c r="J11" s="34" t="n">
        <v>134248</v>
      </c>
      <c r="K11" s="34" t="n">
        <v>138773</v>
      </c>
      <c r="L11" s="34" t="n">
        <v>143298</v>
      </c>
      <c r="M11" s="34" t="n">
        <v>147824</v>
      </c>
      <c r="N11" s="34" t="n">
        <v>152349</v>
      </c>
      <c r="O11" s="34" t="n">
        <v>156874</v>
      </c>
      <c r="P11" s="34" t="n">
        <v>161399</v>
      </c>
      <c r="Q11" s="7" t="n"/>
    </row>
    <row r="12" ht="14.25" customHeight="1">
      <c r="A12" s="56" t="n">
        <v>45689</v>
      </c>
      <c r="B12" s="34" t="n">
        <v>14577</v>
      </c>
      <c r="C12" s="34" t="n">
        <v>7437</v>
      </c>
      <c r="D12" s="34" t="n">
        <v>17401</v>
      </c>
      <c r="E12" s="34" t="n">
        <v>36188</v>
      </c>
      <c r="F12" s="34" t="n">
        <v>52231</v>
      </c>
      <c r="G12" s="34" t="n">
        <v>64160</v>
      </c>
      <c r="H12" s="34" t="n">
        <v>65332</v>
      </c>
      <c r="I12" s="34" t="n">
        <v>66492</v>
      </c>
      <c r="J12" s="34" t="n">
        <v>68812</v>
      </c>
      <c r="K12" s="34" t="n">
        <v>71131</v>
      </c>
      <c r="L12" s="34" t="n">
        <v>73451</v>
      </c>
      <c r="M12" s="34" t="n">
        <v>75770</v>
      </c>
      <c r="N12" s="34" t="n">
        <v>78090</v>
      </c>
      <c r="O12" s="34" t="n">
        <v>80409</v>
      </c>
      <c r="P12" s="34" t="n">
        <v>82729</v>
      </c>
      <c r="Q12" s="7" t="n"/>
    </row>
    <row r="13" ht="14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4.25" customHeight="1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  <c r="P15" s="7" t="n"/>
      <c r="Q15" s="7" t="n"/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  <c r="P16" s="7" t="n"/>
      <c r="Q16" s="7" t="n"/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  <c r="P17" s="7" t="n"/>
      <c r="Q17" s="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  <c r="P18" s="7" t="n"/>
      <c r="Q18" s="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  <c r="P19" s="7" t="n"/>
      <c r="Q19" s="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  <c r="P20" s="7" t="n"/>
      <c r="Q20" s="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  <c r="P21" s="7" t="n"/>
      <c r="Q21" s="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  <c r="P22" s="7" t="n"/>
      <c r="Q22" s="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  <c r="P23" s="7" t="n"/>
      <c r="Q23" s="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7" t="n"/>
      <c r="Q24" s="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7" t="n"/>
      <c r="Q25" s="7" t="n"/>
    </row>
    <row r="26" ht="14.2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4.25" customHeight="1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  <c r="O28" s="7" t="n"/>
      <c r="P28" s="7" t="n"/>
      <c r="Q28" s="7" t="n"/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  <c r="O29" s="7" t="n"/>
      <c r="P29" s="7" t="n"/>
      <c r="Q29" s="7" t="n"/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  <c r="O30" s="7" t="n"/>
      <c r="P30" s="7" t="n"/>
      <c r="Q30" s="7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  <c r="O31" s="7" t="n"/>
      <c r="P31" s="7" t="n"/>
      <c r="Q31" s="7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  <c r="O32" s="7" t="n"/>
      <c r="P32" s="7" t="n"/>
      <c r="Q32" s="7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  <c r="O33" s="7" t="n"/>
      <c r="P33" s="7" t="n"/>
      <c r="Q33" s="7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  <c r="O34" s="7" t="n"/>
      <c r="P34" s="7" t="n"/>
      <c r="Q34" s="7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  <c r="O35" s="7" t="n"/>
      <c r="P35" s="7" t="n"/>
      <c r="Q35" s="7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  <c r="O36" s="7" t="n"/>
      <c r="P36" s="7" t="n"/>
      <c r="Q36" s="7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7" t="n"/>
      <c r="P37" s="7" t="n"/>
      <c r="Q37" s="7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7" t="n"/>
      <c r="P38" s="7" t="n"/>
      <c r="Q38" s="7" t="n"/>
    </row>
    <row r="39" ht="14.25" customHeight="1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  <c r="O39" s="7" t="n"/>
      <c r="P39" s="7" t="n"/>
      <c r="Q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  <c r="Q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  <c r="Q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  <c r="Q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  <c r="Q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  <c r="Q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  <c r="Q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  <c r="Q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  <c r="Q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  <c r="Q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  <c r="Q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AVERAGE(I43:I48)</f>
        <v/>
      </c>
      <c r="J53" s="59">
        <f>AVERAGE(J43:J47)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29" t="inlineStr">
        <is>
          <t>Channel_B-老用户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0.015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0.014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0.013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3" workbookViewId="0">
      <selection activeCell="A55" sqref="A55:R62"/>
    </sheetView>
  </sheetViews>
  <sheetFormatPr baseColWidth="8" defaultRowHeight="13.9"/>
  <cols>
    <col width="11.53125" bestFit="1" customWidth="1" min="1" max="1"/>
    <col width="9.1328125" bestFit="1" customWidth="1" min="2" max="4"/>
    <col width="10.19921875" bestFit="1" customWidth="1" min="5" max="9"/>
    <col width="11.3984375" bestFit="1" customWidth="1" min="10" max="16"/>
  </cols>
  <sheetData>
    <row r="1" ht="14.25" customHeight="1">
      <c r="A1" s="27" t="inlineStr">
        <is>
          <t>分月付费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  <c r="Q2" s="7" t="n"/>
    </row>
    <row r="3" ht="14.25" customHeight="1">
      <c r="A3" s="56" t="n">
        <v>45413</v>
      </c>
      <c r="B3" s="34" t="n">
        <v>174824</v>
      </c>
      <c r="C3" s="34" t="n">
        <v>93125</v>
      </c>
      <c r="D3" s="34" t="n">
        <v>229770</v>
      </c>
      <c r="E3" s="34" t="n">
        <v>485463</v>
      </c>
      <c r="F3" s="34" t="n">
        <v>802881</v>
      </c>
      <c r="G3" s="34" t="n">
        <v>1371783</v>
      </c>
      <c r="H3" s="34" t="n">
        <v>1895288</v>
      </c>
      <c r="I3" s="34" t="n">
        <v>2450788</v>
      </c>
      <c r="J3" s="34" t="n">
        <v>3267678</v>
      </c>
      <c r="K3" s="34" t="n">
        <v>4174300</v>
      </c>
      <c r="L3" s="34" t="n">
        <v>4839710</v>
      </c>
      <c r="M3" s="34" t="n">
        <v>5450694</v>
      </c>
      <c r="N3" s="34" t="n">
        <v>5988506</v>
      </c>
      <c r="O3" s="34" t="n">
        <v>6637309</v>
      </c>
      <c r="P3" s="34" t="n">
        <v>7185491</v>
      </c>
      <c r="Q3" s="7" t="n"/>
    </row>
    <row r="4" ht="14.25" customHeight="1">
      <c r="A4" s="56" t="n">
        <v>45444</v>
      </c>
      <c r="B4" s="34" t="n">
        <v>135866</v>
      </c>
      <c r="C4" s="34" t="n">
        <v>140153</v>
      </c>
      <c r="D4" s="34" t="n">
        <v>334394</v>
      </c>
      <c r="E4" s="34" t="n">
        <v>617426</v>
      </c>
      <c r="F4" s="34" t="n">
        <v>1010651</v>
      </c>
      <c r="G4" s="34" t="n">
        <v>1904397</v>
      </c>
      <c r="H4" s="34" t="n">
        <v>2708822</v>
      </c>
      <c r="I4" s="34" t="n">
        <v>3532311</v>
      </c>
      <c r="J4" s="34" t="n">
        <v>4891419</v>
      </c>
      <c r="K4" s="34" t="n">
        <v>6276912</v>
      </c>
      <c r="L4" s="34" t="n">
        <v>7224694</v>
      </c>
      <c r="M4" s="34" t="n">
        <v>8288206</v>
      </c>
      <c r="N4" s="34" t="n">
        <v>9236922</v>
      </c>
      <c r="O4" s="34" t="n">
        <v>10133354</v>
      </c>
      <c r="P4" s="34" t="n">
        <v>10833219</v>
      </c>
      <c r="Q4" s="7" t="n"/>
    </row>
    <row r="5" ht="14.25" customHeight="1">
      <c r="A5" s="56" t="n">
        <v>45474</v>
      </c>
      <c r="B5" s="34" t="n">
        <v>234575</v>
      </c>
      <c r="C5" s="34" t="n">
        <v>128141</v>
      </c>
      <c r="D5" s="34" t="n">
        <v>323800</v>
      </c>
      <c r="E5" s="34" t="n">
        <v>618091</v>
      </c>
      <c r="F5" s="34" t="n">
        <v>999353</v>
      </c>
      <c r="G5" s="34" t="n">
        <v>1759961</v>
      </c>
      <c r="H5" s="34" t="n">
        <v>2407432</v>
      </c>
      <c r="I5" s="34" t="n">
        <v>3139670</v>
      </c>
      <c r="J5" s="34" t="n">
        <v>4403222</v>
      </c>
      <c r="K5" s="34" t="n">
        <v>5383541</v>
      </c>
      <c r="L5" s="34" t="n">
        <v>6179985</v>
      </c>
      <c r="M5" s="34" t="n">
        <v>6941333</v>
      </c>
      <c r="N5" s="34" t="n">
        <v>7591701</v>
      </c>
      <c r="O5" s="34" t="n">
        <v>8244304</v>
      </c>
      <c r="P5" s="34" t="n">
        <v>8485525</v>
      </c>
      <c r="Q5" s="7" t="n"/>
    </row>
    <row r="6" ht="14.25" customHeight="1">
      <c r="A6" s="56" t="n">
        <v>45505</v>
      </c>
      <c r="B6" s="34" t="n">
        <v>192878</v>
      </c>
      <c r="C6" s="34" t="n">
        <v>85481</v>
      </c>
      <c r="D6" s="34" t="n">
        <v>231405</v>
      </c>
      <c r="E6" s="34" t="n">
        <v>511521</v>
      </c>
      <c r="F6" s="34" t="n">
        <v>831603</v>
      </c>
      <c r="G6" s="34" t="n">
        <v>1572103</v>
      </c>
      <c r="H6" s="34" t="n">
        <v>2307132</v>
      </c>
      <c r="I6" s="34" t="n">
        <v>3182067</v>
      </c>
      <c r="J6" s="34" t="n">
        <v>4330139</v>
      </c>
      <c r="K6" s="34" t="n">
        <v>5536721</v>
      </c>
      <c r="L6" s="34" t="n">
        <v>6527061</v>
      </c>
      <c r="M6" s="34" t="n">
        <v>7507272</v>
      </c>
      <c r="N6" s="34" t="n">
        <v>8242767</v>
      </c>
      <c r="O6" s="34" t="n">
        <v>8521631</v>
      </c>
      <c r="P6" s="34" t="n">
        <v>8767447</v>
      </c>
      <c r="Q6" s="7" t="n"/>
    </row>
    <row r="7" ht="14.25" customHeight="1">
      <c r="A7" s="56" t="n">
        <v>45536</v>
      </c>
      <c r="B7" s="34" t="n">
        <v>118548</v>
      </c>
      <c r="C7" s="34" t="n">
        <v>80712</v>
      </c>
      <c r="D7" s="34" t="n">
        <v>173241</v>
      </c>
      <c r="E7" s="34" t="n">
        <v>313014</v>
      </c>
      <c r="F7" s="34" t="n">
        <v>482284</v>
      </c>
      <c r="G7" s="34" t="n">
        <v>880091</v>
      </c>
      <c r="H7" s="34" t="n">
        <v>1345843</v>
      </c>
      <c r="I7" s="34" t="n">
        <v>1797125</v>
      </c>
      <c r="J7" s="34" t="n">
        <v>2559127</v>
      </c>
      <c r="K7" s="34" t="n">
        <v>3368761</v>
      </c>
      <c r="L7" s="34" t="n">
        <v>4032986</v>
      </c>
      <c r="M7" s="34" t="n">
        <v>4575552</v>
      </c>
      <c r="N7" s="34" t="n">
        <v>4722449</v>
      </c>
      <c r="O7" s="34" t="n">
        <v>4862720</v>
      </c>
      <c r="P7" s="34" t="n">
        <v>5002990</v>
      </c>
      <c r="Q7" s="7" t="n"/>
    </row>
    <row r="8" ht="14.25" customHeight="1">
      <c r="A8" s="56" t="n">
        <v>45566</v>
      </c>
      <c r="B8" s="34" t="n">
        <v>113054</v>
      </c>
      <c r="C8" s="34" t="n">
        <v>98220</v>
      </c>
      <c r="D8" s="34" t="n">
        <v>224259</v>
      </c>
      <c r="E8" s="34" t="n">
        <v>444333</v>
      </c>
      <c r="F8" s="34" t="n">
        <v>805412</v>
      </c>
      <c r="G8" s="34" t="n">
        <v>1482703</v>
      </c>
      <c r="H8" s="34" t="n">
        <v>2130105</v>
      </c>
      <c r="I8" s="34" t="n">
        <v>2817425</v>
      </c>
      <c r="J8" s="34" t="n">
        <v>4048461</v>
      </c>
      <c r="K8" s="34" t="n">
        <v>5268213</v>
      </c>
      <c r="L8" s="34" t="n">
        <v>6197852</v>
      </c>
      <c r="M8" s="34" t="n">
        <v>6400507</v>
      </c>
      <c r="N8" s="34" t="n">
        <v>6596441</v>
      </c>
      <c r="O8" s="34" t="n">
        <v>6792375</v>
      </c>
      <c r="P8" s="34" t="n">
        <v>6988309</v>
      </c>
      <c r="Q8" s="7" t="n"/>
    </row>
    <row r="9" ht="14.25" customHeight="1">
      <c r="A9" s="56" t="n">
        <v>45597</v>
      </c>
      <c r="B9" s="34" t="n">
        <v>104196</v>
      </c>
      <c r="C9" s="34" t="n">
        <v>70694</v>
      </c>
      <c r="D9" s="34" t="n">
        <v>152412</v>
      </c>
      <c r="E9" s="34" t="n">
        <v>287152</v>
      </c>
      <c r="F9" s="34" t="n">
        <v>447351</v>
      </c>
      <c r="G9" s="34" t="n">
        <v>811746</v>
      </c>
      <c r="H9" s="34" t="n">
        <v>1169760</v>
      </c>
      <c r="I9" s="34" t="n">
        <v>1546473</v>
      </c>
      <c r="J9" s="34" t="n">
        <v>2094792</v>
      </c>
      <c r="K9" s="34" t="n">
        <v>2438011</v>
      </c>
      <c r="L9" s="34" t="n">
        <v>2523161</v>
      </c>
      <c r="M9" s="34" t="n">
        <v>2602840</v>
      </c>
      <c r="N9" s="34" t="n">
        <v>2682519</v>
      </c>
      <c r="O9" s="34" t="n">
        <v>2762197</v>
      </c>
      <c r="P9" s="34" t="n">
        <v>2841876</v>
      </c>
      <c r="Q9" s="7" t="n"/>
    </row>
    <row r="10" ht="14.25" customHeight="1">
      <c r="A10" s="56" t="n">
        <v>45627</v>
      </c>
      <c r="B10" s="34" t="n">
        <v>132713</v>
      </c>
      <c r="C10" s="34" t="n">
        <v>67226</v>
      </c>
      <c r="D10" s="34" t="n">
        <v>167886</v>
      </c>
      <c r="E10" s="34" t="n">
        <v>342606</v>
      </c>
      <c r="F10" s="34" t="n">
        <v>558095</v>
      </c>
      <c r="G10" s="34" t="n">
        <v>986158</v>
      </c>
      <c r="H10" s="34" t="n">
        <v>1332632</v>
      </c>
      <c r="I10" s="34" t="n">
        <v>1720601</v>
      </c>
      <c r="J10" s="34" t="n">
        <v>2226792</v>
      </c>
      <c r="K10" s="34" t="n">
        <v>2306631</v>
      </c>
      <c r="L10" s="34" t="n">
        <v>2381847</v>
      </c>
      <c r="M10" s="34" t="n">
        <v>2457063</v>
      </c>
      <c r="N10" s="34" t="n">
        <v>2532280</v>
      </c>
      <c r="O10" s="34" t="n">
        <v>2607496</v>
      </c>
      <c r="P10" s="34" t="n">
        <v>2682712</v>
      </c>
      <c r="Q10" s="7" t="n"/>
    </row>
    <row r="11" ht="14.25" customHeight="1">
      <c r="A11" s="56" t="n">
        <v>45658</v>
      </c>
      <c r="B11" s="34" t="n">
        <v>143654</v>
      </c>
      <c r="C11" s="34" t="n">
        <v>60877</v>
      </c>
      <c r="D11" s="34" t="n">
        <v>163339</v>
      </c>
      <c r="E11" s="34" t="n">
        <v>386081</v>
      </c>
      <c r="F11" s="34" t="n">
        <v>650855</v>
      </c>
      <c r="G11" s="34" t="n">
        <v>1076074</v>
      </c>
      <c r="H11" s="34" t="n">
        <v>1433526</v>
      </c>
      <c r="I11" s="34" t="n">
        <v>1682171</v>
      </c>
      <c r="J11" s="34" t="n">
        <v>1752900</v>
      </c>
      <c r="K11" s="34" t="n">
        <v>1811986</v>
      </c>
      <c r="L11" s="34" t="n">
        <v>1871073</v>
      </c>
      <c r="M11" s="34" t="n">
        <v>1930159</v>
      </c>
      <c r="N11" s="34" t="n">
        <v>1989246</v>
      </c>
      <c r="O11" s="34" t="n">
        <v>2048333</v>
      </c>
      <c r="P11" s="34" t="n">
        <v>2107419</v>
      </c>
      <c r="Q11" s="7" t="n"/>
    </row>
    <row r="12" ht="14.25" customHeight="1">
      <c r="A12" s="56" t="n">
        <v>45689</v>
      </c>
      <c r="B12" s="34" t="n">
        <v>171180</v>
      </c>
      <c r="C12" s="34" t="n">
        <v>71538</v>
      </c>
      <c r="D12" s="34" t="n">
        <v>161825</v>
      </c>
      <c r="E12" s="34" t="n">
        <v>318545</v>
      </c>
      <c r="F12" s="34" t="n">
        <v>472460</v>
      </c>
      <c r="G12" s="34" t="n">
        <v>616221</v>
      </c>
      <c r="H12" s="34" t="n">
        <v>629011</v>
      </c>
      <c r="I12" s="34" t="n">
        <v>640177</v>
      </c>
      <c r="J12" s="34" t="n">
        <v>662509</v>
      </c>
      <c r="K12" s="34" t="n">
        <v>684841</v>
      </c>
      <c r="L12" s="34" t="n">
        <v>707172</v>
      </c>
      <c r="M12" s="34" t="n">
        <v>729504</v>
      </c>
      <c r="N12" s="34" t="n">
        <v>751836</v>
      </c>
      <c r="O12" s="34" t="n">
        <v>774168</v>
      </c>
      <c r="P12" s="34" t="n">
        <v>796499</v>
      </c>
      <c r="Q12" s="7" t="n"/>
    </row>
    <row r="13" ht="14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4.25" customHeight="1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  <c r="P15" s="7" t="n"/>
      <c r="Q15" s="7" t="n"/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  <c r="P16" s="7" t="n"/>
      <c r="Q16" s="7" t="n"/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  <c r="P17" s="7" t="n"/>
      <c r="Q17" s="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  <c r="P18" s="7" t="n"/>
      <c r="Q18" s="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  <c r="P19" s="7" t="n"/>
      <c r="Q19" s="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  <c r="P20" s="7" t="n"/>
      <c r="Q20" s="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  <c r="P21" s="7" t="n"/>
      <c r="Q21" s="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  <c r="P22" s="7" t="n"/>
      <c r="Q22" s="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  <c r="P23" s="7" t="n"/>
      <c r="Q23" s="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7" t="n"/>
      <c r="Q24" s="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7" t="n"/>
      <c r="Q25" s="7" t="n"/>
    </row>
    <row r="26" ht="14.2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4.25" customHeight="1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  <c r="O28" s="7" t="n"/>
      <c r="P28" s="7" t="n"/>
      <c r="Q28" s="7" t="n"/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  <c r="O29" s="7" t="n"/>
      <c r="P29" s="7" t="n"/>
      <c r="Q29" s="7" t="n"/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  <c r="O30" s="7" t="n"/>
      <c r="P30" s="7" t="n"/>
      <c r="Q30" s="7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  <c r="O31" s="7" t="n"/>
      <c r="P31" s="7" t="n"/>
      <c r="Q31" s="7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  <c r="O32" s="7" t="n"/>
      <c r="P32" s="7" t="n"/>
      <c r="Q32" s="7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  <c r="O33" s="7" t="n"/>
      <c r="P33" s="7" t="n"/>
      <c r="Q33" s="7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  <c r="O34" s="7" t="n"/>
      <c r="P34" s="7" t="n"/>
      <c r="Q34" s="7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  <c r="O35" s="7" t="n"/>
      <c r="P35" s="7" t="n"/>
      <c r="Q35" s="7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  <c r="O36" s="7" t="n"/>
      <c r="P36" s="7" t="n"/>
      <c r="Q36" s="7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7" t="n"/>
      <c r="P37" s="7" t="n"/>
      <c r="Q37" s="7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7" t="n"/>
      <c r="P38" s="7" t="n"/>
      <c r="Q38" s="7" t="n"/>
    </row>
    <row r="39" ht="14.25" customHeight="1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  <c r="O39" s="7" t="n"/>
      <c r="P39" s="7" t="n"/>
      <c r="Q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  <c r="Q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  <c r="Q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  <c r="Q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  <c r="Q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  <c r="Q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  <c r="Q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  <c r="Q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  <c r="Q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  <c r="Q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  <c r="Q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29" t="inlineStr">
        <is>
          <t>Channel_C-整体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0.02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0.018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0.016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6" workbookViewId="0">
      <selection activeCell="A55" sqref="A55:R62"/>
    </sheetView>
  </sheetViews>
  <sheetFormatPr baseColWidth="8" defaultRowHeight="13.9"/>
  <cols>
    <col width="11.53125" bestFit="1" customWidth="1" min="1" max="1"/>
    <col width="9.1328125" bestFit="1" customWidth="1" min="2" max="4"/>
    <col width="10.19921875" bestFit="1" customWidth="1" min="5" max="9"/>
    <col width="11.3984375" bestFit="1" customWidth="1" min="10" max="16"/>
  </cols>
  <sheetData>
    <row r="1" ht="14.25" customHeight="1">
      <c r="A1" s="27" t="inlineStr">
        <is>
          <t>分月付费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  <c r="Q2" s="7" t="n"/>
    </row>
    <row r="3" ht="14.25" customHeight="1">
      <c r="A3" s="56" t="n">
        <v>45413</v>
      </c>
      <c r="B3" s="34" t="n">
        <v>164885</v>
      </c>
      <c r="C3" s="34" t="n">
        <v>88555</v>
      </c>
      <c r="D3" s="34" t="n">
        <v>219879</v>
      </c>
      <c r="E3" s="34" t="n">
        <v>462454</v>
      </c>
      <c r="F3" s="34" t="n">
        <v>770452</v>
      </c>
      <c r="G3" s="34" t="n">
        <v>1318682</v>
      </c>
      <c r="H3" s="34" t="n">
        <v>1831444</v>
      </c>
      <c r="I3" s="34" t="n">
        <v>2375823</v>
      </c>
      <c r="J3" s="34" t="n">
        <v>3179527</v>
      </c>
      <c r="K3" s="34" t="n">
        <v>4072222</v>
      </c>
      <c r="L3" s="34" t="n">
        <v>4724366</v>
      </c>
      <c r="M3" s="34" t="n">
        <v>5326398</v>
      </c>
      <c r="N3" s="34" t="n">
        <v>5857061</v>
      </c>
      <c r="O3" s="34" t="n">
        <v>6497779</v>
      </c>
      <c r="P3" s="34" t="n">
        <v>7039447</v>
      </c>
      <c r="Q3" s="7" t="n"/>
    </row>
    <row r="4" ht="14.25" customHeight="1">
      <c r="A4" s="56" t="n">
        <v>45444</v>
      </c>
      <c r="B4" s="34" t="n">
        <v>122874</v>
      </c>
      <c r="C4" s="34" t="n">
        <v>133591</v>
      </c>
      <c r="D4" s="34" t="n">
        <v>318027</v>
      </c>
      <c r="E4" s="34" t="n">
        <v>577728</v>
      </c>
      <c r="F4" s="34" t="n">
        <v>951073</v>
      </c>
      <c r="G4" s="34" t="n">
        <v>1800177</v>
      </c>
      <c r="H4" s="34" t="n">
        <v>2566739</v>
      </c>
      <c r="I4" s="34" t="n">
        <v>3367852</v>
      </c>
      <c r="J4" s="34" t="n">
        <v>4699707</v>
      </c>
      <c r="K4" s="34" t="n">
        <v>6064061</v>
      </c>
      <c r="L4" s="34" t="n">
        <v>6989432</v>
      </c>
      <c r="M4" s="34" t="n">
        <v>8025559</v>
      </c>
      <c r="N4" s="34" t="n">
        <v>8945309</v>
      </c>
      <c r="O4" s="34" t="n">
        <v>9822010</v>
      </c>
      <c r="P4" s="34" t="n">
        <v>10508300</v>
      </c>
      <c r="Q4" s="7" t="n"/>
    </row>
    <row r="5" ht="14.25" customHeight="1">
      <c r="A5" s="56" t="n">
        <v>45474</v>
      </c>
      <c r="B5" s="34" t="n">
        <v>216569</v>
      </c>
      <c r="C5" s="34" t="n">
        <v>124392</v>
      </c>
      <c r="D5" s="34" t="n">
        <v>316012</v>
      </c>
      <c r="E5" s="34" t="n">
        <v>606446</v>
      </c>
      <c r="F5" s="34" t="n">
        <v>981852</v>
      </c>
      <c r="G5" s="34" t="n">
        <v>1733520</v>
      </c>
      <c r="H5" s="34" t="n">
        <v>2371874</v>
      </c>
      <c r="I5" s="34" t="n">
        <v>3089315</v>
      </c>
      <c r="J5" s="34" t="n">
        <v>4330192</v>
      </c>
      <c r="K5" s="34" t="n">
        <v>5294532</v>
      </c>
      <c r="L5" s="34" t="n">
        <v>6078053</v>
      </c>
      <c r="M5" s="34" t="n">
        <v>6825249</v>
      </c>
      <c r="N5" s="34" t="n">
        <v>7463053</v>
      </c>
      <c r="O5" s="34" t="n">
        <v>8100768</v>
      </c>
      <c r="P5" s="34" t="n">
        <v>8337829</v>
      </c>
      <c r="Q5" s="7" t="n"/>
    </row>
    <row r="6" ht="14.25" customHeight="1">
      <c r="A6" s="56" t="n">
        <v>45505</v>
      </c>
      <c r="B6" s="34" t="n">
        <v>181271</v>
      </c>
      <c r="C6" s="34" t="n">
        <v>81467</v>
      </c>
      <c r="D6" s="34" t="n">
        <v>221624</v>
      </c>
      <c r="E6" s="34" t="n">
        <v>487112</v>
      </c>
      <c r="F6" s="34" t="n">
        <v>789846</v>
      </c>
      <c r="G6" s="34" t="n">
        <v>1503641</v>
      </c>
      <c r="H6" s="34" t="n">
        <v>2226968</v>
      </c>
      <c r="I6" s="34" t="n">
        <v>3082658</v>
      </c>
      <c r="J6" s="34" t="n">
        <v>4187436</v>
      </c>
      <c r="K6" s="34" t="n">
        <v>5354852</v>
      </c>
      <c r="L6" s="34" t="n">
        <v>6313956</v>
      </c>
      <c r="M6" s="34" t="n">
        <v>7260501</v>
      </c>
      <c r="N6" s="34" t="n">
        <v>7972128</v>
      </c>
      <c r="O6" s="34" t="n">
        <v>8242809</v>
      </c>
      <c r="P6" s="34" t="n">
        <v>8480582</v>
      </c>
      <c r="Q6" s="7" t="n"/>
    </row>
    <row r="7" ht="14.25" customHeight="1">
      <c r="A7" s="56" t="n">
        <v>45536</v>
      </c>
      <c r="B7" s="34" t="n">
        <v>112771</v>
      </c>
      <c r="C7" s="34" t="n">
        <v>75550</v>
      </c>
      <c r="D7" s="34" t="n">
        <v>163558</v>
      </c>
      <c r="E7" s="34" t="n">
        <v>300760</v>
      </c>
      <c r="F7" s="34" t="n">
        <v>467298</v>
      </c>
      <c r="G7" s="34" t="n">
        <v>860122</v>
      </c>
      <c r="H7" s="34" t="n">
        <v>1319821</v>
      </c>
      <c r="I7" s="34" t="n">
        <v>1763623</v>
      </c>
      <c r="J7" s="34" t="n">
        <v>2513841</v>
      </c>
      <c r="K7" s="34" t="n">
        <v>3312713</v>
      </c>
      <c r="L7" s="34" t="n">
        <v>3970885</v>
      </c>
      <c r="M7" s="34" t="n">
        <v>4502355</v>
      </c>
      <c r="N7" s="34" t="n">
        <v>4647011</v>
      </c>
      <c r="O7" s="34" t="n">
        <v>4785041</v>
      </c>
      <c r="P7" s="34" t="n">
        <v>4923071</v>
      </c>
      <c r="Q7" s="7" t="n"/>
    </row>
    <row r="8" ht="14.25" customHeight="1">
      <c r="A8" s="56" t="n">
        <v>45566</v>
      </c>
      <c r="B8" s="34" t="n">
        <v>106166</v>
      </c>
      <c r="C8" s="34" t="n">
        <v>93083</v>
      </c>
      <c r="D8" s="34" t="n">
        <v>213121</v>
      </c>
      <c r="E8" s="34" t="n">
        <v>417977</v>
      </c>
      <c r="F8" s="34" t="n">
        <v>764506</v>
      </c>
      <c r="G8" s="34" t="n">
        <v>1430890</v>
      </c>
      <c r="H8" s="34" t="n">
        <v>2061923</v>
      </c>
      <c r="I8" s="34" t="n">
        <v>2729867</v>
      </c>
      <c r="J8" s="34" t="n">
        <v>3922002</v>
      </c>
      <c r="K8" s="34" t="n">
        <v>5106903</v>
      </c>
      <c r="L8" s="34" t="n">
        <v>6002877</v>
      </c>
      <c r="M8" s="34" t="n">
        <v>6197783</v>
      </c>
      <c r="N8" s="34" t="n">
        <v>6387511</v>
      </c>
      <c r="O8" s="34" t="n">
        <v>6577239</v>
      </c>
      <c r="P8" s="34" t="n">
        <v>6766967</v>
      </c>
      <c r="Q8" s="7" t="n"/>
    </row>
    <row r="9" ht="14.25" customHeight="1">
      <c r="A9" s="56" t="n">
        <v>45597</v>
      </c>
      <c r="B9" s="34" t="n">
        <v>96758</v>
      </c>
      <c r="C9" s="34" t="n">
        <v>66384</v>
      </c>
      <c r="D9" s="34" t="n">
        <v>143804</v>
      </c>
      <c r="E9" s="34" t="n">
        <v>275682</v>
      </c>
      <c r="F9" s="34" t="n">
        <v>424091</v>
      </c>
      <c r="G9" s="34" t="n">
        <v>747534</v>
      </c>
      <c r="H9" s="34" t="n">
        <v>1075264</v>
      </c>
      <c r="I9" s="34" t="n">
        <v>1394592</v>
      </c>
      <c r="J9" s="34" t="n">
        <v>1849264</v>
      </c>
      <c r="K9" s="34" t="n">
        <v>2178753</v>
      </c>
      <c r="L9" s="34" t="n">
        <v>2255343</v>
      </c>
      <c r="M9" s="34" t="n">
        <v>2326565</v>
      </c>
      <c r="N9" s="34" t="n">
        <v>2397786</v>
      </c>
      <c r="O9" s="34" t="n">
        <v>2469007</v>
      </c>
      <c r="P9" s="34" t="n">
        <v>2540229</v>
      </c>
      <c r="Q9" s="7" t="n"/>
    </row>
    <row r="10" ht="14.25" customHeight="1">
      <c r="A10" s="56" t="n">
        <v>45627</v>
      </c>
      <c r="B10" s="34" t="n">
        <v>123965</v>
      </c>
      <c r="C10" s="34" t="n">
        <v>63982</v>
      </c>
      <c r="D10" s="34" t="n">
        <v>160824</v>
      </c>
      <c r="E10" s="34" t="n">
        <v>325248</v>
      </c>
      <c r="F10" s="34" t="n">
        <v>527594</v>
      </c>
      <c r="G10" s="34" t="n">
        <v>933360</v>
      </c>
      <c r="H10" s="34" t="n">
        <v>1247299</v>
      </c>
      <c r="I10" s="34" t="n">
        <v>1595472</v>
      </c>
      <c r="J10" s="34" t="n">
        <v>2053775</v>
      </c>
      <c r="K10" s="34" t="n">
        <v>2125667</v>
      </c>
      <c r="L10" s="34" t="n">
        <v>2194983</v>
      </c>
      <c r="M10" s="34" t="n">
        <v>2264298</v>
      </c>
      <c r="N10" s="34" t="n">
        <v>2333613</v>
      </c>
      <c r="O10" s="34" t="n">
        <v>2402928</v>
      </c>
      <c r="P10" s="34" t="n">
        <v>2472244</v>
      </c>
      <c r="Q10" s="7" t="n"/>
    </row>
    <row r="11" ht="14.25" customHeight="1">
      <c r="A11" s="56" t="n">
        <v>45658</v>
      </c>
      <c r="B11" s="34" t="n">
        <v>135240</v>
      </c>
      <c r="C11" s="34" t="n">
        <v>53246</v>
      </c>
      <c r="D11" s="34" t="n">
        <v>150480</v>
      </c>
      <c r="E11" s="34" t="n">
        <v>363867</v>
      </c>
      <c r="F11" s="34" t="n">
        <v>617567</v>
      </c>
      <c r="G11" s="34" t="n">
        <v>1037254</v>
      </c>
      <c r="H11" s="34" t="n">
        <v>1387893</v>
      </c>
      <c r="I11" s="34" t="n">
        <v>1631575</v>
      </c>
      <c r="J11" s="34" t="n">
        <v>1699717</v>
      </c>
      <c r="K11" s="34" t="n">
        <v>1757010</v>
      </c>
      <c r="L11" s="34" t="n">
        <v>1814304</v>
      </c>
      <c r="M11" s="34" t="n">
        <v>1871598</v>
      </c>
      <c r="N11" s="34" t="n">
        <v>1928892</v>
      </c>
      <c r="O11" s="34" t="n">
        <v>1986186</v>
      </c>
      <c r="P11" s="34" t="n">
        <v>2043480</v>
      </c>
      <c r="Q11" s="7" t="n"/>
    </row>
    <row r="12" ht="14.25" customHeight="1">
      <c r="A12" s="56" t="n">
        <v>45689</v>
      </c>
      <c r="B12" s="34" t="n">
        <v>157137</v>
      </c>
      <c r="C12" s="34" t="n">
        <v>67420</v>
      </c>
      <c r="D12" s="34" t="n">
        <v>152328</v>
      </c>
      <c r="E12" s="34" t="n">
        <v>301241</v>
      </c>
      <c r="F12" s="34" t="n">
        <v>449316</v>
      </c>
      <c r="G12" s="34" t="n">
        <v>589551</v>
      </c>
      <c r="H12" s="34" t="n">
        <v>601849</v>
      </c>
      <c r="I12" s="34" t="n">
        <v>612532</v>
      </c>
      <c r="J12" s="34" t="n">
        <v>633900</v>
      </c>
      <c r="K12" s="34" t="n">
        <v>655267</v>
      </c>
      <c r="L12" s="34" t="n">
        <v>676635</v>
      </c>
      <c r="M12" s="34" t="n">
        <v>698002</v>
      </c>
      <c r="N12" s="34" t="n">
        <v>719369</v>
      </c>
      <c r="O12" s="34" t="n">
        <v>740737</v>
      </c>
      <c r="P12" s="34" t="n">
        <v>762104</v>
      </c>
      <c r="Q12" s="7" t="n"/>
    </row>
    <row r="13" ht="14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4.25" customHeight="1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  <c r="P15" s="7" t="n"/>
      <c r="Q15" s="7" t="n"/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  <c r="P16" s="7" t="n"/>
      <c r="Q16" s="7" t="n"/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  <c r="P17" s="7" t="n"/>
      <c r="Q17" s="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  <c r="P18" s="7" t="n"/>
      <c r="Q18" s="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  <c r="P19" s="7" t="n"/>
      <c r="Q19" s="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  <c r="P20" s="7" t="n"/>
      <c r="Q20" s="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  <c r="P21" s="7" t="n"/>
      <c r="Q21" s="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  <c r="P22" s="7" t="n"/>
      <c r="Q22" s="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  <c r="P23" s="7" t="n"/>
      <c r="Q23" s="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7" t="n"/>
      <c r="Q24" s="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7" t="n"/>
      <c r="Q25" s="7" t="n"/>
    </row>
    <row r="26" ht="14.2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4.25" customHeight="1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  <c r="O28" s="7" t="n"/>
      <c r="P28" s="7" t="n"/>
      <c r="Q28" s="7" t="n"/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  <c r="O29" s="7" t="n"/>
      <c r="P29" s="7" t="n"/>
      <c r="Q29" s="7" t="n"/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  <c r="O30" s="7" t="n"/>
      <c r="P30" s="7" t="n"/>
      <c r="Q30" s="7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  <c r="O31" s="7" t="n"/>
      <c r="P31" s="7" t="n"/>
      <c r="Q31" s="7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  <c r="O32" s="7" t="n"/>
      <c r="P32" s="7" t="n"/>
      <c r="Q32" s="7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  <c r="O33" s="7" t="n"/>
      <c r="P33" s="7" t="n"/>
      <c r="Q33" s="7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  <c r="O34" s="7" t="n"/>
      <c r="P34" s="7" t="n"/>
      <c r="Q34" s="7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  <c r="O35" s="7" t="n"/>
      <c r="P35" s="7" t="n"/>
      <c r="Q35" s="7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  <c r="O36" s="7" t="n"/>
      <c r="P36" s="7" t="n"/>
      <c r="Q36" s="7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7" t="n"/>
      <c r="P37" s="7" t="n"/>
      <c r="Q37" s="7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7" t="n"/>
      <c r="P38" s="7" t="n"/>
      <c r="Q38" s="7" t="n"/>
    </row>
    <row r="39" ht="14.25" customHeight="1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  <c r="O39" s="7" t="n"/>
      <c r="P39" s="7" t="n"/>
      <c r="Q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  <c r="Q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  <c r="Q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  <c r="Q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  <c r="Q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  <c r="Q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  <c r="Q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  <c r="Q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  <c r="Q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  <c r="Q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  <c r="Q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29" t="inlineStr">
        <is>
          <t>Channel_C-新用户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0.02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0.018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0.016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2"/>
  <sheetViews>
    <sheetView topLeftCell="A16" workbookViewId="0">
      <selection activeCell="A55" sqref="A55:R62"/>
    </sheetView>
  </sheetViews>
  <sheetFormatPr baseColWidth="8" defaultRowHeight="13.9"/>
  <cols>
    <col width="11.53125" bestFit="1" customWidth="1" min="1" max="1"/>
  </cols>
  <sheetData>
    <row r="1" ht="14.25" customHeight="1">
      <c r="A1" s="27" t="inlineStr">
        <is>
          <t>分月付费</t>
        </is>
      </c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>
      <c r="A2" s="56" t="inlineStr">
        <is>
          <t>月</t>
        </is>
      </c>
      <c r="B2" s="7" t="inlineStr">
        <is>
          <t>新增数</t>
        </is>
      </c>
      <c r="C2" s="7" t="inlineStr">
        <is>
          <t>首日付费</t>
        </is>
      </c>
      <c r="D2" s="7" t="inlineStr">
        <is>
          <t>3日付费</t>
        </is>
      </c>
      <c r="E2" s="7" t="inlineStr">
        <is>
          <t>7日付费</t>
        </is>
      </c>
      <c r="F2" s="7" t="inlineStr">
        <is>
          <t>15日付费</t>
        </is>
      </c>
      <c r="G2" s="7" t="inlineStr">
        <is>
          <t>30日付费</t>
        </is>
      </c>
      <c r="H2" s="7" t="inlineStr">
        <is>
          <t>45日付费</t>
        </is>
      </c>
      <c r="I2" s="7" t="inlineStr">
        <is>
          <t>60日付费</t>
        </is>
      </c>
      <c r="J2" s="7" t="inlineStr">
        <is>
          <t>90日付费</t>
        </is>
      </c>
      <c r="K2" s="7" t="inlineStr">
        <is>
          <t>120日付费</t>
        </is>
      </c>
      <c r="L2" s="7" t="inlineStr">
        <is>
          <t>150日付费</t>
        </is>
      </c>
      <c r="M2" s="7" t="inlineStr">
        <is>
          <t>180日付费</t>
        </is>
      </c>
      <c r="N2" s="7" t="inlineStr">
        <is>
          <t>210日付费</t>
        </is>
      </c>
      <c r="O2" s="7" t="inlineStr">
        <is>
          <t>240日付费</t>
        </is>
      </c>
      <c r="P2" s="7" t="inlineStr">
        <is>
          <t>270日付费</t>
        </is>
      </c>
      <c r="Q2" s="7" t="n"/>
    </row>
    <row r="3" ht="14.25" customHeight="1">
      <c r="A3" s="56" t="n">
        <v>45413</v>
      </c>
      <c r="B3" s="34" t="n">
        <v>9940</v>
      </c>
      <c r="C3" s="34" t="n">
        <v>4570</v>
      </c>
      <c r="D3" s="34" t="n">
        <v>9891</v>
      </c>
      <c r="E3" s="34" t="n">
        <v>23009</v>
      </c>
      <c r="F3" s="34" t="n">
        <v>32430</v>
      </c>
      <c r="G3" s="34" t="n">
        <v>53101</v>
      </c>
      <c r="H3" s="34" t="n">
        <v>63844</v>
      </c>
      <c r="I3" s="34" t="n">
        <v>74965</v>
      </c>
      <c r="J3" s="34" t="n">
        <v>88150</v>
      </c>
      <c r="K3" s="34" t="n">
        <v>102078</v>
      </c>
      <c r="L3" s="34" t="n">
        <v>115344</v>
      </c>
      <c r="M3" s="34" t="n">
        <v>124296</v>
      </c>
      <c r="N3" s="34" t="n">
        <v>131444</v>
      </c>
      <c r="O3" s="34" t="n">
        <v>139531</v>
      </c>
      <c r="P3" s="34" t="n">
        <v>146044</v>
      </c>
      <c r="Q3" s="7" t="n"/>
      <c r="R3" s="34" t="n"/>
    </row>
    <row r="4" ht="14.25" customHeight="1">
      <c r="A4" s="56" t="n">
        <v>45444</v>
      </c>
      <c r="B4" s="34" t="n">
        <v>12993</v>
      </c>
      <c r="C4" s="34" t="n">
        <v>6562</v>
      </c>
      <c r="D4" s="34" t="n">
        <v>16367</v>
      </c>
      <c r="E4" s="34" t="n">
        <v>39698</v>
      </c>
      <c r="F4" s="34" t="n">
        <v>59578</v>
      </c>
      <c r="G4" s="34" t="n">
        <v>104221</v>
      </c>
      <c r="H4" s="34" t="n">
        <v>142083</v>
      </c>
      <c r="I4" s="34" t="n">
        <v>164458</v>
      </c>
      <c r="J4" s="34" t="n">
        <v>191712</v>
      </c>
      <c r="K4" s="34" t="n">
        <v>212851</v>
      </c>
      <c r="L4" s="34" t="n">
        <v>235263</v>
      </c>
      <c r="M4" s="34" t="n">
        <v>262647</v>
      </c>
      <c r="N4" s="34" t="n">
        <v>291613</v>
      </c>
      <c r="O4" s="34" t="n">
        <v>311344</v>
      </c>
      <c r="P4" s="34" t="n">
        <v>324919</v>
      </c>
      <c r="Q4" s="7" t="n"/>
      <c r="R4" s="34" t="n"/>
    </row>
    <row r="5" ht="14.25" customHeight="1">
      <c r="A5" s="56" t="n">
        <v>45474</v>
      </c>
      <c r="B5" s="34" t="n">
        <v>18006</v>
      </c>
      <c r="C5" s="34" t="n">
        <v>3749</v>
      </c>
      <c r="D5" s="34" t="n">
        <v>7788</v>
      </c>
      <c r="E5" s="34" t="n">
        <v>11645</v>
      </c>
      <c r="F5" s="34" t="n">
        <v>17501</v>
      </c>
      <c r="G5" s="34" t="n">
        <v>26441</v>
      </c>
      <c r="H5" s="34" t="n">
        <v>35558</v>
      </c>
      <c r="I5" s="34" t="n">
        <v>50355</v>
      </c>
      <c r="J5" s="34" t="n">
        <v>73029</v>
      </c>
      <c r="K5" s="34" t="n">
        <v>89009</v>
      </c>
      <c r="L5" s="34" t="n">
        <v>101931</v>
      </c>
      <c r="M5" s="34" t="n">
        <v>116084</v>
      </c>
      <c r="N5" s="34" t="n">
        <v>128648</v>
      </c>
      <c r="O5" s="34" t="n">
        <v>143536</v>
      </c>
      <c r="P5" s="34" t="n">
        <v>147696</v>
      </c>
      <c r="Q5" s="7" t="n"/>
      <c r="R5" s="34" t="n"/>
    </row>
    <row r="6" ht="14.25" customHeight="1">
      <c r="A6" s="56" t="n">
        <v>45505</v>
      </c>
      <c r="B6" s="34" t="n">
        <v>11607</v>
      </c>
      <c r="C6" s="34" t="n">
        <v>4014</v>
      </c>
      <c r="D6" s="34" t="n">
        <v>9781</v>
      </c>
      <c r="E6" s="34" t="n">
        <v>24409</v>
      </c>
      <c r="F6" s="34" t="n">
        <v>41757</v>
      </c>
      <c r="G6" s="34" t="n">
        <v>68463</v>
      </c>
      <c r="H6" s="34" t="n">
        <v>80164</v>
      </c>
      <c r="I6" s="34" t="n">
        <v>99408</v>
      </c>
      <c r="J6" s="34" t="n">
        <v>142703</v>
      </c>
      <c r="K6" s="34" t="n">
        <v>181869</v>
      </c>
      <c r="L6" s="34" t="n">
        <v>213104</v>
      </c>
      <c r="M6" s="34" t="n">
        <v>246772</v>
      </c>
      <c r="N6" s="34" t="n">
        <v>270639</v>
      </c>
      <c r="O6" s="34" t="n">
        <v>278822</v>
      </c>
      <c r="P6" s="34" t="n">
        <v>286865</v>
      </c>
      <c r="Q6" s="7" t="n"/>
      <c r="R6" s="34" t="n"/>
    </row>
    <row r="7" ht="14.25" customHeight="1">
      <c r="A7" s="56" t="n">
        <v>45536</v>
      </c>
      <c r="B7" s="34" t="n">
        <v>5777</v>
      </c>
      <c r="C7" s="34" t="n">
        <v>5162</v>
      </c>
      <c r="D7" s="34" t="n">
        <v>9683</v>
      </c>
      <c r="E7" s="34" t="n">
        <v>12253</v>
      </c>
      <c r="F7" s="34" t="n">
        <v>14987</v>
      </c>
      <c r="G7" s="34" t="n">
        <v>19969</v>
      </c>
      <c r="H7" s="34" t="n">
        <v>26022</v>
      </c>
      <c r="I7" s="34" t="n">
        <v>33503</v>
      </c>
      <c r="J7" s="34" t="n">
        <v>45287</v>
      </c>
      <c r="K7" s="34" t="n">
        <v>56047</v>
      </c>
      <c r="L7" s="34" t="n">
        <v>62101</v>
      </c>
      <c r="M7" s="34" t="n">
        <v>73198</v>
      </c>
      <c r="N7" s="34" t="n">
        <v>75438</v>
      </c>
      <c r="O7" s="34" t="n">
        <v>77679</v>
      </c>
      <c r="P7" s="34" t="n">
        <v>79920</v>
      </c>
      <c r="Q7" s="7" t="n"/>
      <c r="R7" s="34" t="n"/>
    </row>
    <row r="8" ht="14.25" customHeight="1">
      <c r="A8" s="56" t="n">
        <v>45566</v>
      </c>
      <c r="B8" s="34" t="n">
        <v>6889</v>
      </c>
      <c r="C8" s="34" t="n">
        <v>5136</v>
      </c>
      <c r="D8" s="34" t="n">
        <v>11138</v>
      </c>
      <c r="E8" s="34" t="n">
        <v>26356</v>
      </c>
      <c r="F8" s="34" t="n">
        <v>40906</v>
      </c>
      <c r="G8" s="34" t="n">
        <v>51813</v>
      </c>
      <c r="H8" s="34" t="n">
        <v>68182</v>
      </c>
      <c r="I8" s="34" t="n">
        <v>87558</v>
      </c>
      <c r="J8" s="34" t="n">
        <v>126459</v>
      </c>
      <c r="K8" s="34" t="n">
        <v>161311</v>
      </c>
      <c r="L8" s="34" t="n">
        <v>194976</v>
      </c>
      <c r="M8" s="34" t="n">
        <v>202724</v>
      </c>
      <c r="N8" s="34" t="n">
        <v>208930</v>
      </c>
      <c r="O8" s="34" t="n">
        <v>215136</v>
      </c>
      <c r="P8" s="34" t="n">
        <v>221342</v>
      </c>
      <c r="Q8" s="7" t="n"/>
      <c r="R8" s="34" t="n"/>
    </row>
    <row r="9" ht="14.25" customHeight="1">
      <c r="A9" s="56" t="n">
        <v>45597</v>
      </c>
      <c r="B9" s="34" t="n">
        <v>7438</v>
      </c>
      <c r="C9" s="34" t="n">
        <v>4311</v>
      </c>
      <c r="D9" s="34" t="n">
        <v>8609</v>
      </c>
      <c r="E9" s="34" t="n">
        <v>11470</v>
      </c>
      <c r="F9" s="34" t="n">
        <v>23260</v>
      </c>
      <c r="G9" s="34" t="n">
        <v>64212</v>
      </c>
      <c r="H9" s="34" t="n">
        <v>94496</v>
      </c>
      <c r="I9" s="34" t="n">
        <v>151881</v>
      </c>
      <c r="J9" s="34" t="n">
        <v>245528</v>
      </c>
      <c r="K9" s="34" t="n">
        <v>259258</v>
      </c>
      <c r="L9" s="34" t="n">
        <v>267818</v>
      </c>
      <c r="M9" s="34" t="n">
        <v>276275</v>
      </c>
      <c r="N9" s="34" t="n">
        <v>284733</v>
      </c>
      <c r="O9" s="34" t="n">
        <v>293190</v>
      </c>
      <c r="P9" s="34" t="n">
        <v>301647</v>
      </c>
      <c r="Q9" s="7" t="n"/>
      <c r="R9" s="34" t="n"/>
    </row>
    <row r="10" ht="14.25" customHeight="1">
      <c r="A10" s="56" t="n">
        <v>45627</v>
      </c>
      <c r="B10" s="34" t="n">
        <v>8749</v>
      </c>
      <c r="C10" s="34" t="n">
        <v>3243</v>
      </c>
      <c r="D10" s="34" t="n">
        <v>7063</v>
      </c>
      <c r="E10" s="34" t="n">
        <v>17358</v>
      </c>
      <c r="F10" s="34" t="n">
        <v>30501</v>
      </c>
      <c r="G10" s="34" t="n">
        <v>52798</v>
      </c>
      <c r="H10" s="34" t="n">
        <v>85333</v>
      </c>
      <c r="I10" s="34" t="n">
        <v>125130</v>
      </c>
      <c r="J10" s="34" t="n">
        <v>173018</v>
      </c>
      <c r="K10" s="34" t="n">
        <v>180964</v>
      </c>
      <c r="L10" s="34" t="n">
        <v>186865</v>
      </c>
      <c r="M10" s="34" t="n">
        <v>192766</v>
      </c>
      <c r="N10" s="34" t="n">
        <v>198666</v>
      </c>
      <c r="O10" s="34" t="n">
        <v>204567</v>
      </c>
      <c r="P10" s="34" t="n">
        <v>210468</v>
      </c>
      <c r="Q10" s="7" t="n"/>
      <c r="R10" s="34" t="n"/>
    </row>
    <row r="11" ht="14.25" customHeight="1">
      <c r="A11" s="56" t="n">
        <v>45658</v>
      </c>
      <c r="B11" s="34" t="n">
        <v>8415</v>
      </c>
      <c r="C11" s="34" t="n">
        <v>7631</v>
      </c>
      <c r="D11" s="34" t="n">
        <v>12859</v>
      </c>
      <c r="E11" s="34" t="n">
        <v>22214</v>
      </c>
      <c r="F11" s="34" t="n">
        <v>33288</v>
      </c>
      <c r="G11" s="34" t="n">
        <v>38820</v>
      </c>
      <c r="H11" s="34" t="n">
        <v>45632</v>
      </c>
      <c r="I11" s="34" t="n">
        <v>50596</v>
      </c>
      <c r="J11" s="34" t="n">
        <v>53183</v>
      </c>
      <c r="K11" s="34" t="n">
        <v>54976</v>
      </c>
      <c r="L11" s="34" t="n">
        <v>56769</v>
      </c>
      <c r="M11" s="34" t="n">
        <v>58561</v>
      </c>
      <c r="N11" s="34" t="n">
        <v>60354</v>
      </c>
      <c r="O11" s="34" t="n">
        <v>62147</v>
      </c>
      <c r="P11" s="34" t="n">
        <v>63939</v>
      </c>
      <c r="Q11" s="7" t="n"/>
      <c r="R11" s="34" t="n"/>
    </row>
    <row r="12" ht="14.25" customHeight="1">
      <c r="A12" s="56" t="n">
        <v>45689</v>
      </c>
      <c r="B12" s="34" t="n">
        <v>14042</v>
      </c>
      <c r="C12" s="34" t="n">
        <v>4118</v>
      </c>
      <c r="D12" s="34" t="n">
        <v>9497</v>
      </c>
      <c r="E12" s="34" t="n">
        <v>17303</v>
      </c>
      <c r="F12" s="34" t="n">
        <v>23144</v>
      </c>
      <c r="G12" s="34" t="n">
        <v>26670</v>
      </c>
      <c r="H12" s="34" t="n">
        <v>27163</v>
      </c>
      <c r="I12" s="34" t="n">
        <v>27645</v>
      </c>
      <c r="J12" s="34" t="n">
        <v>28609</v>
      </c>
      <c r="K12" s="34" t="n">
        <v>29573</v>
      </c>
      <c r="L12" s="34" t="n">
        <v>30538</v>
      </c>
      <c r="M12" s="34" t="n">
        <v>31502</v>
      </c>
      <c r="N12" s="34" t="n">
        <v>32466</v>
      </c>
      <c r="O12" s="34" t="n">
        <v>33431</v>
      </c>
      <c r="P12" s="34" t="n">
        <v>34395</v>
      </c>
      <c r="Q12" s="7" t="n"/>
      <c r="R12" s="34" t="n"/>
    </row>
    <row r="13" ht="14.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4.25" customHeight="1">
      <c r="A14" s="27" t="inlineStr">
        <is>
          <t>分月LTV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4.25" customHeight="1">
      <c r="A15" s="56" t="inlineStr">
        <is>
          <t>月</t>
        </is>
      </c>
      <c r="B15" s="38" t="inlineStr">
        <is>
          <t>首日LTV</t>
        </is>
      </c>
      <c r="C15" s="38" t="inlineStr">
        <is>
          <t>3日LTV</t>
        </is>
      </c>
      <c r="D15" s="38" t="inlineStr">
        <is>
          <t>7日LTV</t>
        </is>
      </c>
      <c r="E15" s="38" t="inlineStr">
        <is>
          <t>15日LTV</t>
        </is>
      </c>
      <c r="F15" s="38" t="inlineStr">
        <is>
          <t>30日LTV</t>
        </is>
      </c>
      <c r="G15" s="38" t="inlineStr">
        <is>
          <t>45日LTV</t>
        </is>
      </c>
      <c r="H15" s="38" t="inlineStr">
        <is>
          <t>60日LTV</t>
        </is>
      </c>
      <c r="I15" s="38" t="inlineStr">
        <is>
          <t>90日LTV</t>
        </is>
      </c>
      <c r="J15" s="38" t="inlineStr">
        <is>
          <t>120日LTV</t>
        </is>
      </c>
      <c r="K15" s="38" t="inlineStr">
        <is>
          <t>150日LTV</t>
        </is>
      </c>
      <c r="L15" s="38" t="inlineStr">
        <is>
          <t>180日LTV</t>
        </is>
      </c>
      <c r="M15" s="38" t="inlineStr">
        <is>
          <t>210日LTV</t>
        </is>
      </c>
      <c r="N15" s="38" t="inlineStr">
        <is>
          <t>240日LTV</t>
        </is>
      </c>
      <c r="O15" s="38" t="inlineStr">
        <is>
          <t>270日LTV</t>
        </is>
      </c>
      <c r="P15" s="7" t="n"/>
      <c r="Q15" s="7" t="n"/>
    </row>
    <row r="16" ht="14.25" customHeight="1">
      <c r="A16" s="56" t="n">
        <v>45413</v>
      </c>
      <c r="B16" s="57">
        <f>C3/$B3</f>
        <v/>
      </c>
      <c r="C16" s="57">
        <f>D3/$B3</f>
        <v/>
      </c>
      <c r="D16" s="57">
        <f>E3/$B3</f>
        <v/>
      </c>
      <c r="E16" s="57">
        <f>F3/$B3</f>
        <v/>
      </c>
      <c r="F16" s="57">
        <f>G3/$B3</f>
        <v/>
      </c>
      <c r="G16" s="57">
        <f>H3/$B3</f>
        <v/>
      </c>
      <c r="H16" s="57">
        <f>I3/$B3</f>
        <v/>
      </c>
      <c r="I16" s="57">
        <f>J3/$B3</f>
        <v/>
      </c>
      <c r="J16" s="57">
        <f>K3/$B3</f>
        <v/>
      </c>
      <c r="K16" s="57">
        <f>L3/$B3</f>
        <v/>
      </c>
      <c r="L16" s="57">
        <f>M3/$B3</f>
        <v/>
      </c>
      <c r="M16" s="57">
        <f>N3/$B3</f>
        <v/>
      </c>
      <c r="N16" s="57">
        <f>O3/$B3</f>
        <v/>
      </c>
      <c r="O16" s="57">
        <f>P3/$B3</f>
        <v/>
      </c>
      <c r="P16" s="7" t="n"/>
      <c r="Q16" s="7" t="n"/>
    </row>
    <row r="17" ht="14.25" customHeight="1">
      <c r="A17" s="56" t="n">
        <v>45444</v>
      </c>
      <c r="B17" s="57">
        <f>C4/$B4</f>
        <v/>
      </c>
      <c r="C17" s="57">
        <f>D4/$B4</f>
        <v/>
      </c>
      <c r="D17" s="57">
        <f>E4/$B4</f>
        <v/>
      </c>
      <c r="E17" s="57">
        <f>F4/$B4</f>
        <v/>
      </c>
      <c r="F17" s="57">
        <f>G4/$B4</f>
        <v/>
      </c>
      <c r="G17" s="57">
        <f>H4/$B4</f>
        <v/>
      </c>
      <c r="H17" s="57">
        <f>I4/$B4</f>
        <v/>
      </c>
      <c r="I17" s="57">
        <f>J4/$B4</f>
        <v/>
      </c>
      <c r="J17" s="57">
        <f>K4/$B4</f>
        <v/>
      </c>
      <c r="K17" s="57">
        <f>L4/$B4</f>
        <v/>
      </c>
      <c r="L17" s="57">
        <f>M4/$B4</f>
        <v/>
      </c>
      <c r="M17" s="57">
        <f>N4/$B4</f>
        <v/>
      </c>
      <c r="N17" s="57">
        <f>O4/$B4</f>
        <v/>
      </c>
      <c r="O17" s="57" t="n"/>
      <c r="P17" s="7" t="n"/>
      <c r="Q17" s="7" t="n"/>
    </row>
    <row r="18" ht="14.25" customHeight="1">
      <c r="A18" s="56" t="n">
        <v>45474</v>
      </c>
      <c r="B18" s="57">
        <f>C5/$B5</f>
        <v/>
      </c>
      <c r="C18" s="57">
        <f>D5/$B5</f>
        <v/>
      </c>
      <c r="D18" s="57">
        <f>E5/$B5</f>
        <v/>
      </c>
      <c r="E18" s="57">
        <f>F5/$B5</f>
        <v/>
      </c>
      <c r="F18" s="57">
        <f>G5/$B5</f>
        <v/>
      </c>
      <c r="G18" s="57">
        <f>H5/$B5</f>
        <v/>
      </c>
      <c r="H18" s="57">
        <f>I5/$B5</f>
        <v/>
      </c>
      <c r="I18" s="57">
        <f>J5/$B5</f>
        <v/>
      </c>
      <c r="J18" s="57">
        <f>K5/$B5</f>
        <v/>
      </c>
      <c r="K18" s="57">
        <f>L5/$B5</f>
        <v/>
      </c>
      <c r="L18" s="57">
        <f>M5/$B5</f>
        <v/>
      </c>
      <c r="M18" s="57">
        <f>N5/$B5</f>
        <v/>
      </c>
      <c r="N18" s="57" t="n"/>
      <c r="O18" s="57" t="n"/>
      <c r="P18" s="7" t="n"/>
      <c r="Q18" s="7" t="n"/>
    </row>
    <row r="19" ht="14.25" customHeight="1">
      <c r="A19" s="56" t="n">
        <v>45505</v>
      </c>
      <c r="B19" s="57">
        <f>C6/$B6</f>
        <v/>
      </c>
      <c r="C19" s="57">
        <f>D6/$B6</f>
        <v/>
      </c>
      <c r="D19" s="57">
        <f>E6/$B6</f>
        <v/>
      </c>
      <c r="E19" s="57">
        <f>F6/$B6</f>
        <v/>
      </c>
      <c r="F19" s="57">
        <f>G6/$B6</f>
        <v/>
      </c>
      <c r="G19" s="57">
        <f>H6/$B6</f>
        <v/>
      </c>
      <c r="H19" s="57">
        <f>I6/$B6</f>
        <v/>
      </c>
      <c r="I19" s="57">
        <f>J6/$B6</f>
        <v/>
      </c>
      <c r="J19" s="57">
        <f>K6/$B6</f>
        <v/>
      </c>
      <c r="K19" s="57">
        <f>L6/$B6</f>
        <v/>
      </c>
      <c r="L19" s="57">
        <f>M6/$B6</f>
        <v/>
      </c>
      <c r="M19" s="57" t="n"/>
      <c r="N19" s="57" t="n"/>
      <c r="O19" s="57" t="n"/>
      <c r="P19" s="7" t="n"/>
      <c r="Q19" s="7" t="n"/>
    </row>
    <row r="20" ht="14.25" customHeight="1">
      <c r="A20" s="56" t="n">
        <v>45536</v>
      </c>
      <c r="B20" s="57">
        <f>C7/$B7</f>
        <v/>
      </c>
      <c r="C20" s="57">
        <f>D7/$B7</f>
        <v/>
      </c>
      <c r="D20" s="57">
        <f>E7/$B7</f>
        <v/>
      </c>
      <c r="E20" s="57">
        <f>F7/$B7</f>
        <v/>
      </c>
      <c r="F20" s="57">
        <f>G7/$B7</f>
        <v/>
      </c>
      <c r="G20" s="57">
        <f>H7/$B7</f>
        <v/>
      </c>
      <c r="H20" s="57">
        <f>I7/$B7</f>
        <v/>
      </c>
      <c r="I20" s="57">
        <f>J7/$B7</f>
        <v/>
      </c>
      <c r="J20" s="57">
        <f>K7/$B7</f>
        <v/>
      </c>
      <c r="K20" s="57">
        <f>L7/$B7</f>
        <v/>
      </c>
      <c r="L20" s="57" t="n"/>
      <c r="M20" s="57" t="n"/>
      <c r="N20" s="57" t="n"/>
      <c r="O20" s="57" t="n"/>
      <c r="P20" s="7" t="n"/>
      <c r="Q20" s="7" t="n"/>
    </row>
    <row r="21" ht="14.25" customHeight="1">
      <c r="A21" s="56" t="n">
        <v>45566</v>
      </c>
      <c r="B21" s="57">
        <f>C8/$B8</f>
        <v/>
      </c>
      <c r="C21" s="57">
        <f>D8/$B8</f>
        <v/>
      </c>
      <c r="D21" s="57">
        <f>E8/$B8</f>
        <v/>
      </c>
      <c r="E21" s="57">
        <f>F8/$B8</f>
        <v/>
      </c>
      <c r="F21" s="57">
        <f>G8/$B8</f>
        <v/>
      </c>
      <c r="G21" s="57">
        <f>H8/$B8</f>
        <v/>
      </c>
      <c r="H21" s="57">
        <f>I8/$B8</f>
        <v/>
      </c>
      <c r="I21" s="57">
        <f>J8/$B8</f>
        <v/>
      </c>
      <c r="J21" s="57">
        <f>K8/$B8</f>
        <v/>
      </c>
      <c r="K21" s="57" t="n"/>
      <c r="L21" s="57" t="n"/>
      <c r="M21" s="57" t="n"/>
      <c r="N21" s="57" t="n"/>
      <c r="O21" s="57" t="n"/>
      <c r="P21" s="7" t="n"/>
      <c r="Q21" s="7" t="n"/>
    </row>
    <row r="22" ht="14.25" customHeight="1">
      <c r="A22" s="56" t="n">
        <v>45597</v>
      </c>
      <c r="B22" s="57">
        <f>C9/$B9</f>
        <v/>
      </c>
      <c r="C22" s="57">
        <f>D9/$B9</f>
        <v/>
      </c>
      <c r="D22" s="57">
        <f>E9/$B9</f>
        <v/>
      </c>
      <c r="E22" s="57">
        <f>F9/$B9</f>
        <v/>
      </c>
      <c r="F22" s="57">
        <f>G9/$B9</f>
        <v/>
      </c>
      <c r="G22" s="57">
        <f>H9/$B9</f>
        <v/>
      </c>
      <c r="H22" s="57">
        <f>I9/$B9</f>
        <v/>
      </c>
      <c r="I22" s="57">
        <f>J9/$B9</f>
        <v/>
      </c>
      <c r="J22" s="57" t="n"/>
      <c r="K22" s="57" t="n"/>
      <c r="L22" s="57" t="n"/>
      <c r="M22" s="57" t="n"/>
      <c r="N22" s="57" t="n"/>
      <c r="O22" s="57" t="n"/>
      <c r="P22" s="7" t="n"/>
      <c r="Q22" s="7" t="n"/>
    </row>
    <row r="23" ht="14.25" customHeight="1">
      <c r="A23" s="56" t="n">
        <v>45627</v>
      </c>
      <c r="B23" s="57">
        <f>C10/$B10</f>
        <v/>
      </c>
      <c r="C23" s="57">
        <f>D10/$B10</f>
        <v/>
      </c>
      <c r="D23" s="57">
        <f>E10/$B10</f>
        <v/>
      </c>
      <c r="E23" s="57">
        <f>F10/$B10</f>
        <v/>
      </c>
      <c r="F23" s="57">
        <f>G10/$B10</f>
        <v/>
      </c>
      <c r="G23" s="57">
        <f>H10/$B10</f>
        <v/>
      </c>
      <c r="H23" s="57">
        <f>I10/$B10</f>
        <v/>
      </c>
      <c r="I23" s="57" t="n"/>
      <c r="J23" s="57" t="n"/>
      <c r="K23" s="57" t="n"/>
      <c r="L23" s="57" t="n"/>
      <c r="M23" s="57" t="n"/>
      <c r="N23" s="57" t="n"/>
      <c r="O23" s="57" t="n"/>
      <c r="P23" s="7" t="n"/>
      <c r="Q23" s="7" t="n"/>
    </row>
    <row r="24" ht="14.25" customHeight="1">
      <c r="A24" s="56" t="n">
        <v>45658</v>
      </c>
      <c r="B24" s="57">
        <f>C11/$B11</f>
        <v/>
      </c>
      <c r="C24" s="57">
        <f>D11/$B11</f>
        <v/>
      </c>
      <c r="D24" s="57">
        <f>E11/$B11</f>
        <v/>
      </c>
      <c r="E24" s="57">
        <f>F11/$B11</f>
        <v/>
      </c>
      <c r="F24" s="57">
        <f>G11/$B11</f>
        <v/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7" t="n"/>
      <c r="Q24" s="7" t="n"/>
    </row>
    <row r="25" ht="14.25" customHeight="1">
      <c r="A25" s="56" t="n">
        <v>45689</v>
      </c>
      <c r="B25" s="57">
        <f>C12/$B12</f>
        <v/>
      </c>
      <c r="C25" s="57">
        <f>D12/$B12</f>
        <v/>
      </c>
      <c r="D25" s="57">
        <f>E12/$B12</f>
        <v/>
      </c>
      <c r="E25" s="57" t="n"/>
      <c r="F25" s="57" t="n"/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7" t="n"/>
      <c r="Q25" s="7" t="n"/>
    </row>
    <row r="26" ht="14.25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14.25" customHeight="1">
      <c r="A27" s="28" t="inlineStr">
        <is>
          <t>分月倍率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4.25" customHeight="1">
      <c r="A28" s="56" t="inlineStr">
        <is>
          <t>月</t>
        </is>
      </c>
      <c r="B28" s="34" t="inlineStr">
        <is>
          <t>3日</t>
        </is>
      </c>
      <c r="C28" s="34" t="inlineStr">
        <is>
          <t>7日</t>
        </is>
      </c>
      <c r="D28" s="34" t="inlineStr">
        <is>
          <t>15日</t>
        </is>
      </c>
      <c r="E28" s="34" t="inlineStr">
        <is>
          <t>30日</t>
        </is>
      </c>
      <c r="F28" s="34" t="inlineStr">
        <is>
          <t>45日</t>
        </is>
      </c>
      <c r="G28" s="34" t="inlineStr">
        <is>
          <t>60日</t>
        </is>
      </c>
      <c r="H28" s="34" t="inlineStr">
        <is>
          <t>90日</t>
        </is>
      </c>
      <c r="I28" s="34" t="inlineStr">
        <is>
          <t>120日</t>
        </is>
      </c>
      <c r="J28" s="34" t="inlineStr">
        <is>
          <t>150日</t>
        </is>
      </c>
      <c r="K28" s="34" t="inlineStr">
        <is>
          <t>180日</t>
        </is>
      </c>
      <c r="L28" s="34" t="inlineStr">
        <is>
          <t>210日</t>
        </is>
      </c>
      <c r="M28" s="34" t="inlineStr">
        <is>
          <t>240日</t>
        </is>
      </c>
      <c r="N28" s="34" t="inlineStr">
        <is>
          <t>270日</t>
        </is>
      </c>
      <c r="O28" s="7" t="n"/>
      <c r="P28" s="7" t="n"/>
      <c r="Q28" s="7" t="n"/>
    </row>
    <row r="29" ht="14.25" customHeight="1">
      <c r="A29" s="56" t="n">
        <v>45413</v>
      </c>
      <c r="B29" s="58">
        <f>C16/$B16</f>
        <v/>
      </c>
      <c r="C29" s="58">
        <f>D16/$B16</f>
        <v/>
      </c>
      <c r="D29" s="58">
        <f>E16/$B16</f>
        <v/>
      </c>
      <c r="E29" s="58">
        <f>F16/$B16</f>
        <v/>
      </c>
      <c r="F29" s="58">
        <f>G16/$B16</f>
        <v/>
      </c>
      <c r="G29" s="58">
        <f>H16/$B16</f>
        <v/>
      </c>
      <c r="H29" s="58">
        <f>I16/$B16</f>
        <v/>
      </c>
      <c r="I29" s="58">
        <f>J16/$B16</f>
        <v/>
      </c>
      <c r="J29" s="58">
        <f>K16/$B16</f>
        <v/>
      </c>
      <c r="K29" s="58">
        <f>L16/$B16</f>
        <v/>
      </c>
      <c r="L29" s="58">
        <f>M16/$B16</f>
        <v/>
      </c>
      <c r="M29" s="58">
        <f>N16/$B16</f>
        <v/>
      </c>
      <c r="N29" s="58">
        <f>O16/$B16</f>
        <v/>
      </c>
      <c r="O29" s="7" t="n"/>
      <c r="P29" s="7" t="n"/>
      <c r="Q29" s="7" t="n"/>
    </row>
    <row r="30" ht="14.25" customHeight="1">
      <c r="A30" s="56" t="n">
        <v>45444</v>
      </c>
      <c r="B30" s="58">
        <f>C17/$B17</f>
        <v/>
      </c>
      <c r="C30" s="58">
        <f>D17/$B17</f>
        <v/>
      </c>
      <c r="D30" s="58">
        <f>E17/$B17</f>
        <v/>
      </c>
      <c r="E30" s="58">
        <f>F17/$B17</f>
        <v/>
      </c>
      <c r="F30" s="58">
        <f>G17/$B17</f>
        <v/>
      </c>
      <c r="G30" s="58">
        <f>H17/$B17</f>
        <v/>
      </c>
      <c r="H30" s="58">
        <f>I17/$B17</f>
        <v/>
      </c>
      <c r="I30" s="58">
        <f>J17/$B17</f>
        <v/>
      </c>
      <c r="J30" s="58">
        <f>K17/$B17</f>
        <v/>
      </c>
      <c r="K30" s="58">
        <f>L17/$B17</f>
        <v/>
      </c>
      <c r="L30" s="58">
        <f>M17/$B17</f>
        <v/>
      </c>
      <c r="M30" s="58">
        <f>N17/$B17</f>
        <v/>
      </c>
      <c r="N30" s="58" t="n"/>
      <c r="O30" s="7" t="n"/>
      <c r="P30" s="7" t="n"/>
      <c r="Q30" s="7" t="n"/>
    </row>
    <row r="31" ht="14.25" customHeight="1">
      <c r="A31" s="56" t="n">
        <v>45474</v>
      </c>
      <c r="B31" s="58">
        <f>C18/$B18</f>
        <v/>
      </c>
      <c r="C31" s="58">
        <f>D18/$B18</f>
        <v/>
      </c>
      <c r="D31" s="58">
        <f>E18/$B18</f>
        <v/>
      </c>
      <c r="E31" s="58">
        <f>F18/$B18</f>
        <v/>
      </c>
      <c r="F31" s="58">
        <f>G18/$B18</f>
        <v/>
      </c>
      <c r="G31" s="58">
        <f>H18/$B18</f>
        <v/>
      </c>
      <c r="H31" s="58">
        <f>I18/$B18</f>
        <v/>
      </c>
      <c r="I31" s="58">
        <f>J18/$B18</f>
        <v/>
      </c>
      <c r="J31" s="58">
        <f>K18/$B18</f>
        <v/>
      </c>
      <c r="K31" s="58">
        <f>L18/$B18</f>
        <v/>
      </c>
      <c r="L31" s="58">
        <f>M18/$B18</f>
        <v/>
      </c>
      <c r="M31" s="58" t="n"/>
      <c r="N31" s="58" t="n"/>
      <c r="O31" s="7" t="n"/>
      <c r="P31" s="7" t="n"/>
      <c r="Q31" s="7" t="n"/>
    </row>
    <row r="32" ht="14.25" customHeight="1">
      <c r="A32" s="56" t="n">
        <v>45505</v>
      </c>
      <c r="B32" s="58">
        <f>C19/$B19</f>
        <v/>
      </c>
      <c r="C32" s="58">
        <f>D19/$B19</f>
        <v/>
      </c>
      <c r="D32" s="58">
        <f>E19/$B19</f>
        <v/>
      </c>
      <c r="E32" s="58">
        <f>F19/$B19</f>
        <v/>
      </c>
      <c r="F32" s="58">
        <f>G19/$B19</f>
        <v/>
      </c>
      <c r="G32" s="58">
        <f>H19/$B19</f>
        <v/>
      </c>
      <c r="H32" s="58">
        <f>I19/$B19</f>
        <v/>
      </c>
      <c r="I32" s="58">
        <f>J19/$B19</f>
        <v/>
      </c>
      <c r="J32" s="58">
        <f>K19/$B19</f>
        <v/>
      </c>
      <c r="K32" s="58">
        <f>L19/$B19</f>
        <v/>
      </c>
      <c r="L32" s="58" t="n"/>
      <c r="M32" s="58" t="n"/>
      <c r="N32" s="58" t="n"/>
      <c r="O32" s="7" t="n"/>
      <c r="P32" s="7" t="n"/>
      <c r="Q32" s="7" t="n"/>
    </row>
    <row r="33" ht="14.25" customHeight="1">
      <c r="A33" s="56" t="n">
        <v>45536</v>
      </c>
      <c r="B33" s="58">
        <f>C20/$B20</f>
        <v/>
      </c>
      <c r="C33" s="58">
        <f>D20/$B20</f>
        <v/>
      </c>
      <c r="D33" s="58">
        <f>E20/$B20</f>
        <v/>
      </c>
      <c r="E33" s="58">
        <f>F20/$B20</f>
        <v/>
      </c>
      <c r="F33" s="58">
        <f>G20/$B20</f>
        <v/>
      </c>
      <c r="G33" s="58">
        <f>H20/$B20</f>
        <v/>
      </c>
      <c r="H33" s="58">
        <f>I20/$B20</f>
        <v/>
      </c>
      <c r="I33" s="58">
        <f>J20/$B20</f>
        <v/>
      </c>
      <c r="J33" s="58">
        <f>K20/$B20</f>
        <v/>
      </c>
      <c r="K33" s="58" t="n"/>
      <c r="L33" s="58" t="n"/>
      <c r="M33" s="58" t="n"/>
      <c r="N33" s="58" t="n"/>
      <c r="O33" s="7" t="n"/>
      <c r="P33" s="7" t="n"/>
      <c r="Q33" s="7" t="n"/>
    </row>
    <row r="34" ht="14.25" customHeight="1">
      <c r="A34" s="56" t="n">
        <v>45566</v>
      </c>
      <c r="B34" s="58">
        <f>C21/$B21</f>
        <v/>
      </c>
      <c r="C34" s="58">
        <f>D21/$B21</f>
        <v/>
      </c>
      <c r="D34" s="58">
        <f>E21/$B21</f>
        <v/>
      </c>
      <c r="E34" s="58">
        <f>F21/$B21</f>
        <v/>
      </c>
      <c r="F34" s="58">
        <f>G21/$B21</f>
        <v/>
      </c>
      <c r="G34" s="58">
        <f>H21/$B21</f>
        <v/>
      </c>
      <c r="H34" s="58">
        <f>I21/$B21</f>
        <v/>
      </c>
      <c r="I34" s="58">
        <f>J21/$B21</f>
        <v/>
      </c>
      <c r="J34" s="58" t="n"/>
      <c r="K34" s="58" t="n"/>
      <c r="L34" s="58" t="n"/>
      <c r="M34" s="58" t="n"/>
      <c r="N34" s="58" t="n"/>
      <c r="O34" s="7" t="n"/>
      <c r="P34" s="7" t="n"/>
      <c r="Q34" s="7" t="n"/>
    </row>
    <row r="35" ht="14.25" customHeight="1">
      <c r="A35" s="56" t="n">
        <v>45597</v>
      </c>
      <c r="B35" s="58">
        <f>C22/$B22</f>
        <v/>
      </c>
      <c r="C35" s="58">
        <f>D22/$B22</f>
        <v/>
      </c>
      <c r="D35" s="58">
        <f>E22/$B22</f>
        <v/>
      </c>
      <c r="E35" s="58">
        <f>F22/$B22</f>
        <v/>
      </c>
      <c r="F35" s="58">
        <f>G22/$B22</f>
        <v/>
      </c>
      <c r="G35" s="58">
        <f>H22/$B22</f>
        <v/>
      </c>
      <c r="H35" s="58">
        <f>I22/$B22</f>
        <v/>
      </c>
      <c r="I35" s="58" t="n"/>
      <c r="J35" s="58" t="n"/>
      <c r="K35" s="58" t="n"/>
      <c r="L35" s="58" t="n"/>
      <c r="M35" s="58" t="n"/>
      <c r="N35" s="58" t="n"/>
      <c r="O35" s="7" t="n"/>
      <c r="P35" s="7" t="n"/>
      <c r="Q35" s="7" t="n"/>
    </row>
    <row r="36" ht="14.25" customHeight="1">
      <c r="A36" s="56" t="n">
        <v>45627</v>
      </c>
      <c r="B36" s="58">
        <f>C23/$B23</f>
        <v/>
      </c>
      <c r="C36" s="58">
        <f>D23/$B23</f>
        <v/>
      </c>
      <c r="D36" s="58">
        <f>E23/$B23</f>
        <v/>
      </c>
      <c r="E36" s="58">
        <f>F23/$B23</f>
        <v/>
      </c>
      <c r="F36" s="58">
        <f>G23/$B23</f>
        <v/>
      </c>
      <c r="G36" s="58">
        <f>H23/$B23</f>
        <v/>
      </c>
      <c r="H36" s="58" t="n"/>
      <c r="I36" s="58" t="n"/>
      <c r="J36" s="58" t="n"/>
      <c r="K36" s="58" t="n"/>
      <c r="L36" s="58" t="n"/>
      <c r="M36" s="58" t="n"/>
      <c r="N36" s="58" t="n"/>
      <c r="O36" s="7" t="n"/>
      <c r="P36" s="7" t="n"/>
      <c r="Q36" s="7" t="n"/>
    </row>
    <row r="37" ht="14.25" customHeight="1">
      <c r="A37" s="56" t="n">
        <v>45658</v>
      </c>
      <c r="B37" s="58">
        <f>C24/$B24</f>
        <v/>
      </c>
      <c r="C37" s="58">
        <f>D24/$B24</f>
        <v/>
      </c>
      <c r="D37" s="58">
        <f>E24/$B24</f>
        <v/>
      </c>
      <c r="E37" s="58">
        <f>F24/$B24</f>
        <v/>
      </c>
      <c r="F37" s="58" t="n"/>
      <c r="G37" s="58" t="n"/>
      <c r="H37" s="58" t="n"/>
      <c r="I37" s="58" t="n"/>
      <c r="J37" s="58" t="n"/>
      <c r="K37" s="58" t="n"/>
      <c r="L37" s="58" t="n"/>
      <c r="M37" s="58" t="n"/>
      <c r="N37" s="58" t="n"/>
      <c r="O37" s="7" t="n"/>
      <c r="P37" s="7" t="n"/>
      <c r="Q37" s="7" t="n"/>
    </row>
    <row r="38" ht="14.25" customHeight="1">
      <c r="A38" s="56" t="n">
        <v>45689</v>
      </c>
      <c r="B38" s="58">
        <f>C25/$B25</f>
        <v/>
      </c>
      <c r="C38" s="58">
        <f>D25/$B25</f>
        <v/>
      </c>
      <c r="D38" s="58" t="n"/>
      <c r="E38" s="58" t="n"/>
      <c r="F38" s="58" t="n"/>
      <c r="G38" s="58" t="n"/>
      <c r="H38" s="58" t="n"/>
      <c r="I38" s="58" t="n"/>
      <c r="J38" s="58" t="n"/>
      <c r="K38" s="58" t="n"/>
      <c r="L38" s="58" t="n"/>
      <c r="M38" s="58" t="n"/>
      <c r="N38" s="58" t="n"/>
      <c r="O38" s="7" t="n"/>
      <c r="P38" s="7" t="n"/>
      <c r="Q38" s="7" t="n"/>
    </row>
    <row r="39" ht="14.25" customHeight="1">
      <c r="A39" s="34" t="inlineStr">
        <is>
          <t>平均值</t>
        </is>
      </c>
      <c r="B39" s="59">
        <f>AVERAGE(B29:B38)</f>
        <v/>
      </c>
      <c r="C39" s="59">
        <f>AVERAGE(C29:C38)</f>
        <v/>
      </c>
      <c r="D39" s="59">
        <f>AVERAGE(D29:D37)</f>
        <v/>
      </c>
      <c r="E39" s="59">
        <f>AVERAGE(E29:E37)</f>
        <v/>
      </c>
      <c r="F39" s="59">
        <f>AVERAGE(F29:F36)</f>
        <v/>
      </c>
      <c r="G39" s="59">
        <f>AVERAGE(G29:G36)</f>
        <v/>
      </c>
      <c r="H39" s="59">
        <f>AVERAGE(H29:H35)</f>
        <v/>
      </c>
      <c r="I39" s="59">
        <f>AVERAGE(I29:I35)</f>
        <v/>
      </c>
      <c r="J39" s="59">
        <f>AVERAGE(J29:J34)</f>
        <v/>
      </c>
      <c r="K39" s="59">
        <f>AVERAGE(K29:K33)</f>
        <v/>
      </c>
      <c r="L39" s="59">
        <f>AVERAGE(L29:L32)</f>
        <v/>
      </c>
      <c r="M39" s="59">
        <f>AVERAGE(M29:M30)</f>
        <v/>
      </c>
      <c r="N39" s="59">
        <f>AVERAGE(N29)</f>
        <v/>
      </c>
      <c r="O39" s="7" t="n"/>
      <c r="P39" s="7" t="n"/>
      <c r="Q39" s="7" t="n"/>
    </row>
    <row r="40" ht="14.25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 ht="14.25" customHeight="1">
      <c r="A41" s="27" t="inlineStr">
        <is>
          <t>分月增长率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14.25" customHeight="1">
      <c r="A42" s="56" t="inlineStr">
        <is>
          <t>月</t>
        </is>
      </c>
      <c r="B42" s="34" t="inlineStr">
        <is>
          <t>3日</t>
        </is>
      </c>
      <c r="C42" s="34" t="inlineStr">
        <is>
          <t>7日</t>
        </is>
      </c>
      <c r="D42" s="34" t="inlineStr">
        <is>
          <t>15日</t>
        </is>
      </c>
      <c r="E42" s="34" t="inlineStr">
        <is>
          <t>30日</t>
        </is>
      </c>
      <c r="F42" s="34" t="inlineStr">
        <is>
          <t>45日</t>
        </is>
      </c>
      <c r="G42" s="34" t="inlineStr">
        <is>
          <t>60日</t>
        </is>
      </c>
      <c r="H42" s="34" t="inlineStr">
        <is>
          <t>90日</t>
        </is>
      </c>
      <c r="I42" s="34" t="inlineStr">
        <is>
          <t>120日</t>
        </is>
      </c>
      <c r="J42" s="34" t="inlineStr">
        <is>
          <t>150日</t>
        </is>
      </c>
      <c r="K42" s="34" t="inlineStr">
        <is>
          <t>180日</t>
        </is>
      </c>
      <c r="L42" s="34" t="inlineStr">
        <is>
          <t>210日</t>
        </is>
      </c>
      <c r="M42" s="34" t="inlineStr">
        <is>
          <t>240日</t>
        </is>
      </c>
      <c r="N42" s="34" t="inlineStr">
        <is>
          <t>270日</t>
        </is>
      </c>
      <c r="O42" s="7" t="inlineStr">
        <is>
          <t>300日</t>
        </is>
      </c>
      <c r="P42" s="7" t="inlineStr">
        <is>
          <t>330日</t>
        </is>
      </c>
      <c r="Q42" s="7" t="inlineStr">
        <is>
          <t>360日</t>
        </is>
      </c>
    </row>
    <row r="43" ht="14.25" customHeight="1">
      <c r="A43" s="56" t="n">
        <v>45413</v>
      </c>
      <c r="B43" s="58">
        <f>C16/B16</f>
        <v/>
      </c>
      <c r="C43" s="58">
        <f>D16/C16</f>
        <v/>
      </c>
      <c r="D43" s="58">
        <f>E16/D16</f>
        <v/>
      </c>
      <c r="E43" s="58">
        <f>F16/E16</f>
        <v/>
      </c>
      <c r="F43" s="58">
        <f>G16/F16</f>
        <v/>
      </c>
      <c r="G43" s="58">
        <f>H16/G16</f>
        <v/>
      </c>
      <c r="H43" s="58">
        <f>I16/H16</f>
        <v/>
      </c>
      <c r="I43" s="58">
        <f>J16/I16</f>
        <v/>
      </c>
      <c r="J43" s="58">
        <f>K16/J16</f>
        <v/>
      </c>
      <c r="K43" s="58">
        <f>L16/K16</f>
        <v/>
      </c>
      <c r="L43" s="58">
        <f>M16/L16</f>
        <v/>
      </c>
      <c r="M43" s="58">
        <f>N16/M16</f>
        <v/>
      </c>
      <c r="N43" s="58">
        <f>O16/N16</f>
        <v/>
      </c>
      <c r="O43" s="7" t="n"/>
      <c r="P43" s="7" t="n"/>
      <c r="Q43" s="7" t="n"/>
    </row>
    <row r="44" ht="14.25" customHeight="1">
      <c r="A44" s="56" t="n">
        <v>45444</v>
      </c>
      <c r="B44" s="58">
        <f>C17/B17</f>
        <v/>
      </c>
      <c r="C44" s="58">
        <f>D17/C17</f>
        <v/>
      </c>
      <c r="D44" s="58">
        <f>E17/D17</f>
        <v/>
      </c>
      <c r="E44" s="58">
        <f>F17/E17</f>
        <v/>
      </c>
      <c r="F44" s="58">
        <f>G17/F17</f>
        <v/>
      </c>
      <c r="G44" s="58">
        <f>H17/G17</f>
        <v/>
      </c>
      <c r="H44" s="58">
        <f>I17/H17</f>
        <v/>
      </c>
      <c r="I44" s="58">
        <f>J17/I17</f>
        <v/>
      </c>
      <c r="J44" s="58">
        <f>K17/J17</f>
        <v/>
      </c>
      <c r="K44" s="58">
        <f>L17/K17</f>
        <v/>
      </c>
      <c r="L44" s="58">
        <f>M17/L17</f>
        <v/>
      </c>
      <c r="M44" s="58">
        <f>N17/M17</f>
        <v/>
      </c>
      <c r="N44" s="58" t="n"/>
      <c r="O44" s="7" t="n"/>
      <c r="P44" s="7" t="n"/>
      <c r="Q44" s="7" t="n"/>
    </row>
    <row r="45" ht="14.25" customHeight="1">
      <c r="A45" s="56" t="n">
        <v>45474</v>
      </c>
      <c r="B45" s="58">
        <f>C18/B18</f>
        <v/>
      </c>
      <c r="C45" s="58">
        <f>D18/C18</f>
        <v/>
      </c>
      <c r="D45" s="58">
        <f>E18/D18</f>
        <v/>
      </c>
      <c r="E45" s="58">
        <f>F18/E18</f>
        <v/>
      </c>
      <c r="F45" s="58">
        <f>G18/F18</f>
        <v/>
      </c>
      <c r="G45" s="58">
        <f>H18/G18</f>
        <v/>
      </c>
      <c r="H45" s="58">
        <f>I18/H18</f>
        <v/>
      </c>
      <c r="I45" s="58">
        <f>J18/I18</f>
        <v/>
      </c>
      <c r="J45" s="58">
        <f>K18/J18</f>
        <v/>
      </c>
      <c r="K45" s="58">
        <f>L18/K18</f>
        <v/>
      </c>
      <c r="L45" s="58">
        <f>M18/L18</f>
        <v/>
      </c>
      <c r="M45" s="58" t="n"/>
      <c r="N45" s="58" t="n"/>
      <c r="O45" s="7" t="n"/>
      <c r="P45" s="7" t="n"/>
      <c r="Q45" s="7" t="n"/>
    </row>
    <row r="46" ht="14.25" customHeight="1">
      <c r="A46" s="56" t="n">
        <v>45505</v>
      </c>
      <c r="B46" s="58">
        <f>C19/B19</f>
        <v/>
      </c>
      <c r="C46" s="58">
        <f>D19/C19</f>
        <v/>
      </c>
      <c r="D46" s="58">
        <f>E19/D19</f>
        <v/>
      </c>
      <c r="E46" s="58">
        <f>F19/E19</f>
        <v/>
      </c>
      <c r="F46" s="58">
        <f>G19/F19</f>
        <v/>
      </c>
      <c r="G46" s="58">
        <f>H19/G19</f>
        <v/>
      </c>
      <c r="H46" s="58">
        <f>I19/H19</f>
        <v/>
      </c>
      <c r="I46" s="58">
        <f>J19/I19</f>
        <v/>
      </c>
      <c r="J46" s="58">
        <f>K19/J19</f>
        <v/>
      </c>
      <c r="K46" s="58">
        <f>L19/K19</f>
        <v/>
      </c>
      <c r="L46" s="58" t="n"/>
      <c r="M46" s="58" t="n"/>
      <c r="N46" s="58" t="n"/>
      <c r="O46" s="7" t="n"/>
      <c r="P46" s="7" t="n"/>
      <c r="Q46" s="7" t="n"/>
    </row>
    <row r="47" ht="14.25" customHeight="1">
      <c r="A47" s="56" t="n">
        <v>45536</v>
      </c>
      <c r="B47" s="58">
        <f>C20/B20</f>
        <v/>
      </c>
      <c r="C47" s="58">
        <f>D20/C20</f>
        <v/>
      </c>
      <c r="D47" s="58">
        <f>E20/D20</f>
        <v/>
      </c>
      <c r="E47" s="58">
        <f>F20/E20</f>
        <v/>
      </c>
      <c r="F47" s="58">
        <f>G20/F20</f>
        <v/>
      </c>
      <c r="G47" s="58">
        <f>H20/G20</f>
        <v/>
      </c>
      <c r="H47" s="58">
        <f>I20/H20</f>
        <v/>
      </c>
      <c r="I47" s="58">
        <f>J20/I20</f>
        <v/>
      </c>
      <c r="J47" s="58">
        <f>K20/J20</f>
        <v/>
      </c>
      <c r="K47" s="58" t="n"/>
      <c r="L47" s="58" t="n"/>
      <c r="M47" s="58" t="n"/>
      <c r="N47" s="58" t="n"/>
      <c r="O47" s="7" t="n"/>
      <c r="P47" s="7" t="n"/>
      <c r="Q47" s="7" t="n"/>
    </row>
    <row r="48" ht="14.25" customHeight="1">
      <c r="A48" s="56" t="n">
        <v>45566</v>
      </c>
      <c r="B48" s="58">
        <f>C21/B21</f>
        <v/>
      </c>
      <c r="C48" s="58">
        <f>D21/C21</f>
        <v/>
      </c>
      <c r="D48" s="58">
        <f>E21/D21</f>
        <v/>
      </c>
      <c r="E48" s="58">
        <f>F21/E21</f>
        <v/>
      </c>
      <c r="F48" s="58">
        <f>G21/F21</f>
        <v/>
      </c>
      <c r="G48" s="58">
        <f>H21/G21</f>
        <v/>
      </c>
      <c r="H48" s="58">
        <f>I21/H21</f>
        <v/>
      </c>
      <c r="I48" s="58">
        <f>J21/I21</f>
        <v/>
      </c>
      <c r="J48" s="58" t="n"/>
      <c r="K48" s="58" t="n"/>
      <c r="L48" s="58" t="n"/>
      <c r="M48" s="58" t="n"/>
      <c r="N48" s="58" t="n"/>
      <c r="O48" s="7" t="n"/>
      <c r="P48" s="7" t="n"/>
      <c r="Q48" s="7" t="n"/>
    </row>
    <row r="49" ht="14.25" customHeight="1">
      <c r="A49" s="56" t="n">
        <v>45597</v>
      </c>
      <c r="B49" s="58">
        <f>C22/B22</f>
        <v/>
      </c>
      <c r="C49" s="58">
        <f>D22/C22</f>
        <v/>
      </c>
      <c r="D49" s="58">
        <f>E22/D22</f>
        <v/>
      </c>
      <c r="E49" s="58">
        <f>F22/E22</f>
        <v/>
      </c>
      <c r="F49" s="58">
        <f>G22/F22</f>
        <v/>
      </c>
      <c r="G49" s="58">
        <f>H22/G22</f>
        <v/>
      </c>
      <c r="H49" s="58">
        <f>I22/H22</f>
        <v/>
      </c>
      <c r="I49" s="58" t="n"/>
      <c r="J49" s="58" t="n"/>
      <c r="K49" s="58" t="n"/>
      <c r="L49" s="58" t="n"/>
      <c r="M49" s="58" t="n"/>
      <c r="N49" s="58" t="n"/>
      <c r="O49" s="7" t="n"/>
      <c r="P49" s="7" t="n"/>
      <c r="Q49" s="7" t="n"/>
    </row>
    <row r="50" ht="14.25" customHeight="1">
      <c r="A50" s="56" t="n">
        <v>45627</v>
      </c>
      <c r="B50" s="58">
        <f>C23/B23</f>
        <v/>
      </c>
      <c r="C50" s="58">
        <f>D23/C23</f>
        <v/>
      </c>
      <c r="D50" s="58">
        <f>E23/D23</f>
        <v/>
      </c>
      <c r="E50" s="58">
        <f>F23/E23</f>
        <v/>
      </c>
      <c r="F50" s="58">
        <f>G23/F23</f>
        <v/>
      </c>
      <c r="G50" s="58">
        <f>H23/G23</f>
        <v/>
      </c>
      <c r="H50" s="58" t="n"/>
      <c r="I50" s="58" t="n"/>
      <c r="J50" s="58" t="n"/>
      <c r="K50" s="58" t="n"/>
      <c r="L50" s="58" t="n"/>
      <c r="M50" s="58" t="n"/>
      <c r="N50" s="58" t="n"/>
      <c r="O50" s="7" t="n"/>
      <c r="P50" s="7" t="n"/>
      <c r="Q50" s="7" t="n"/>
    </row>
    <row r="51" ht="14.25" customHeight="1">
      <c r="A51" s="56" t="n">
        <v>45658</v>
      </c>
      <c r="B51" s="58">
        <f>C24/B24</f>
        <v/>
      </c>
      <c r="C51" s="58">
        <f>D24/C24</f>
        <v/>
      </c>
      <c r="D51" s="58">
        <f>E24/D24</f>
        <v/>
      </c>
      <c r="E51" s="58">
        <f>F24/E24</f>
        <v/>
      </c>
      <c r="F51" s="58" t="n"/>
      <c r="G51" s="58" t="n"/>
      <c r="H51" s="58" t="n"/>
      <c r="I51" s="58" t="n"/>
      <c r="J51" s="58" t="n"/>
      <c r="K51" s="58" t="n"/>
      <c r="L51" s="58" t="n"/>
      <c r="M51" s="58" t="n"/>
      <c r="N51" s="58" t="n"/>
      <c r="O51" s="7" t="n"/>
      <c r="P51" s="7" t="n"/>
      <c r="Q51" s="7" t="n"/>
    </row>
    <row r="52" ht="14.25" customHeight="1">
      <c r="A52" s="56" t="n">
        <v>45689</v>
      </c>
      <c r="B52" s="58">
        <f>C25/B25</f>
        <v/>
      </c>
      <c r="C52" s="58">
        <f>D25/C25</f>
        <v/>
      </c>
      <c r="D52" s="58" t="n"/>
      <c r="E52" s="58" t="n"/>
      <c r="F52" s="58" t="n"/>
      <c r="G52" s="58" t="n"/>
      <c r="H52" s="58" t="n"/>
      <c r="I52" s="58" t="n"/>
      <c r="J52" s="58" t="n"/>
      <c r="K52" s="58" t="n"/>
      <c r="L52" s="58" t="n"/>
      <c r="M52" s="58" t="n"/>
      <c r="N52" s="58" t="n"/>
      <c r="O52" s="7" t="n"/>
      <c r="P52" s="7" t="n"/>
      <c r="Q52" s="7" t="n"/>
    </row>
    <row r="53" ht="14.25" customHeight="1">
      <c r="A53" s="34" t="inlineStr">
        <is>
          <t>平均值</t>
        </is>
      </c>
      <c r="B53" s="59">
        <f>AVERAGE(B43:B52)</f>
        <v/>
      </c>
      <c r="C53" s="59">
        <f>AVERAGE(C43:C52)</f>
        <v/>
      </c>
      <c r="D53" s="59">
        <f>AVERAGE(D43:D51)</f>
        <v/>
      </c>
      <c r="E53" s="59">
        <f>AVERAGE(E43:E51)</f>
        <v/>
      </c>
      <c r="F53" s="59">
        <f>AVERAGE(F43:F50)</f>
        <v/>
      </c>
      <c r="G53" s="59">
        <f>AVERAGE(G43:G50)</f>
        <v/>
      </c>
      <c r="H53" s="59">
        <f>AVERAGE(H43:H49)</f>
        <v/>
      </c>
      <c r="I53" s="59">
        <f>AVERAGE(I43:I49)</f>
        <v/>
      </c>
      <c r="J53" s="59">
        <f>AVERAGE(J43:J48)</f>
        <v/>
      </c>
      <c r="K53" s="59">
        <f>AVERAGE(K43:K47)</f>
        <v/>
      </c>
      <c r="L53" s="59">
        <f>AVERAGE(L43:L46)</f>
        <v/>
      </c>
      <c r="M53" s="59">
        <f>AVERAGE(M43:M44)</f>
        <v/>
      </c>
      <c r="N53" s="59">
        <f>AVERAGE(N43)</f>
        <v/>
      </c>
      <c r="O53" s="16" t="n">
        <v>1</v>
      </c>
      <c r="P53" s="16" t="n">
        <v>1</v>
      </c>
      <c r="Q53" s="16" t="n">
        <v>1</v>
      </c>
    </row>
    <row r="54" ht="14.25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</row>
    <row r="55">
      <c r="A55" s="29" t="inlineStr">
        <is>
          <t>Channel_C-老用户</t>
        </is>
      </c>
      <c r="B55" s="52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39" t="n"/>
    </row>
    <row r="56">
      <c r="A56" s="18" t="inlineStr">
        <is>
          <t>倍率</t>
        </is>
      </c>
      <c r="B56" s="60" t="inlineStr">
        <is>
          <t>首日</t>
        </is>
      </c>
      <c r="C56" s="34" t="inlineStr">
        <is>
          <t>3日</t>
        </is>
      </c>
      <c r="D56" s="34" t="inlineStr">
        <is>
          <t>7日</t>
        </is>
      </c>
      <c r="E56" s="34" t="inlineStr">
        <is>
          <t>15日</t>
        </is>
      </c>
      <c r="F56" s="34" t="inlineStr">
        <is>
          <t>30日</t>
        </is>
      </c>
      <c r="G56" s="34" t="inlineStr">
        <is>
          <t>45日</t>
        </is>
      </c>
      <c r="H56" s="34" t="inlineStr">
        <is>
          <t>60日</t>
        </is>
      </c>
      <c r="I56" s="34" t="inlineStr">
        <is>
          <t>90日</t>
        </is>
      </c>
      <c r="J56" s="34" t="inlineStr">
        <is>
          <t>120日</t>
        </is>
      </c>
      <c r="K56" s="34" t="inlineStr">
        <is>
          <t>150日</t>
        </is>
      </c>
      <c r="L56" s="34" t="inlineStr">
        <is>
          <t>180日</t>
        </is>
      </c>
      <c r="M56" s="34" t="inlineStr">
        <is>
          <t>210日</t>
        </is>
      </c>
      <c r="N56" s="34" t="inlineStr">
        <is>
          <t>240日</t>
        </is>
      </c>
      <c r="O56" s="34" t="inlineStr">
        <is>
          <t>270日</t>
        </is>
      </c>
      <c r="P56" s="34" t="inlineStr">
        <is>
          <t>300日</t>
        </is>
      </c>
      <c r="Q56" s="34" t="inlineStr">
        <is>
          <t>330日</t>
        </is>
      </c>
      <c r="R56" s="19" t="inlineStr">
        <is>
          <t>360日</t>
        </is>
      </c>
    </row>
    <row r="57">
      <c r="A57" s="61" t="n"/>
      <c r="B57" s="59" t="n">
        <v>0</v>
      </c>
      <c r="C57" s="59">
        <f>B57*B53</f>
        <v/>
      </c>
      <c r="D57" s="59">
        <f>C57*C53</f>
        <v/>
      </c>
      <c r="E57" s="59">
        <f>D57*D53</f>
        <v/>
      </c>
      <c r="F57" s="59">
        <f>E57*E53</f>
        <v/>
      </c>
      <c r="G57" s="59">
        <f>F57*F53</f>
        <v/>
      </c>
      <c r="H57" s="59">
        <f>G57*G53</f>
        <v/>
      </c>
      <c r="I57" s="59">
        <f>H57*H53</f>
        <v/>
      </c>
      <c r="J57" s="59">
        <f>I57*I53</f>
        <v/>
      </c>
      <c r="K57" s="59">
        <f>J57*J53</f>
        <v/>
      </c>
      <c r="L57" s="59">
        <f>K57*K53</f>
        <v/>
      </c>
      <c r="M57" s="59">
        <f>L57*L53</f>
        <v/>
      </c>
      <c r="N57" s="59">
        <f>M57*M53</f>
        <v/>
      </c>
      <c r="O57" s="59">
        <f>N57*N53</f>
        <v/>
      </c>
      <c r="P57" s="62">
        <f>O57*O53</f>
        <v/>
      </c>
      <c r="Q57" s="62">
        <f>P57*P53</f>
        <v/>
      </c>
      <c r="R57" s="63">
        <f>Q57*Q53</f>
        <v/>
      </c>
    </row>
    <row r="58">
      <c r="A58" s="18" t="n"/>
      <c r="B58" s="34" t="n"/>
      <c r="C58" s="34" t="n"/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40" t="n"/>
    </row>
    <row r="59">
      <c r="A59" s="18" t="inlineStr">
        <is>
          <t>模型</t>
        </is>
      </c>
      <c r="B59" s="60" t="inlineStr">
        <is>
          <t>首日</t>
        </is>
      </c>
      <c r="C59" s="34" t="inlineStr">
        <is>
          <t>3日</t>
        </is>
      </c>
      <c r="D59" s="34" t="inlineStr">
        <is>
          <t>7日</t>
        </is>
      </c>
      <c r="E59" s="34" t="inlineStr">
        <is>
          <t>15日</t>
        </is>
      </c>
      <c r="F59" s="34" t="inlineStr">
        <is>
          <t>30日</t>
        </is>
      </c>
      <c r="G59" s="34" t="inlineStr">
        <is>
          <t>45日</t>
        </is>
      </c>
      <c r="H59" s="34" t="inlineStr">
        <is>
          <t>60日</t>
        </is>
      </c>
      <c r="I59" s="34" t="inlineStr">
        <is>
          <t>90日</t>
        </is>
      </c>
      <c r="J59" s="34" t="inlineStr">
        <is>
          <t>120日</t>
        </is>
      </c>
      <c r="K59" s="34" t="inlineStr">
        <is>
          <t>150日</t>
        </is>
      </c>
      <c r="L59" s="34" t="inlineStr">
        <is>
          <t>180日</t>
        </is>
      </c>
      <c r="M59" s="34" t="inlineStr">
        <is>
          <t>210日</t>
        </is>
      </c>
      <c r="N59" s="34" t="inlineStr">
        <is>
          <t>240日</t>
        </is>
      </c>
      <c r="O59" s="34" t="inlineStr">
        <is>
          <t>270日</t>
        </is>
      </c>
      <c r="P59" s="34" t="inlineStr">
        <is>
          <t>300日</t>
        </is>
      </c>
      <c r="Q59" s="34" t="inlineStr">
        <is>
          <t>330日</t>
        </is>
      </c>
      <c r="R59" s="19" t="inlineStr">
        <is>
          <t>360日</t>
        </is>
      </c>
    </row>
    <row r="60">
      <c r="A60" s="18" t="n"/>
      <c r="B60" s="38" t="n">
        <v>0.03</v>
      </c>
      <c r="C60" s="38">
        <f>$B60*C57</f>
        <v/>
      </c>
      <c r="D60" s="38">
        <f>$B60*D57</f>
        <v/>
      </c>
      <c r="E60" s="38">
        <f>$B60*E57</f>
        <v/>
      </c>
      <c r="F60" s="38">
        <f>$B60*F57</f>
        <v/>
      </c>
      <c r="G60" s="38">
        <f>$B60*G57</f>
        <v/>
      </c>
      <c r="H60" s="38">
        <f>$B60*H57</f>
        <v/>
      </c>
      <c r="I60" s="38">
        <f>$B60*I57</f>
        <v/>
      </c>
      <c r="J60" s="38">
        <f>$B60*J57</f>
        <v/>
      </c>
      <c r="K60" s="38">
        <f>$B60*K57</f>
        <v/>
      </c>
      <c r="L60" s="38">
        <f>$B60*L57</f>
        <v/>
      </c>
      <c r="M60" s="38">
        <f>$B60*M57</f>
        <v/>
      </c>
      <c r="N60" s="38">
        <f>$B60*N57</f>
        <v/>
      </c>
      <c r="O60" s="38">
        <f>$B60*O57</f>
        <v/>
      </c>
      <c r="P60" s="41">
        <f>$B60*P57</f>
        <v/>
      </c>
      <c r="Q60" s="41">
        <f>$B60*Q57</f>
        <v/>
      </c>
      <c r="R60" s="42">
        <f>$B60*R57</f>
        <v/>
      </c>
    </row>
    <row r="61">
      <c r="A61" s="18" t="n"/>
      <c r="B61" s="38" t="n">
        <v>0.028</v>
      </c>
      <c r="C61" s="38">
        <f>$B61*C57</f>
        <v/>
      </c>
      <c r="D61" s="38">
        <f>$B61*D57</f>
        <v/>
      </c>
      <c r="E61" s="38">
        <f>$B61*E57</f>
        <v/>
      </c>
      <c r="F61" s="38">
        <f>$B61*F57</f>
        <v/>
      </c>
      <c r="G61" s="38">
        <f>$B61*G57</f>
        <v/>
      </c>
      <c r="H61" s="38">
        <f>$B61*H57</f>
        <v/>
      </c>
      <c r="I61" s="38">
        <f>$B61*I57</f>
        <v/>
      </c>
      <c r="J61" s="38">
        <f>$B61*J57</f>
        <v/>
      </c>
      <c r="K61" s="38">
        <f>$B61*K57</f>
        <v/>
      </c>
      <c r="L61" s="38">
        <f>$B61*L57</f>
        <v/>
      </c>
      <c r="M61" s="38">
        <f>$B61*M57</f>
        <v/>
      </c>
      <c r="N61" s="38">
        <f>$B61*N57</f>
        <v/>
      </c>
      <c r="O61" s="38">
        <f>$B61*O57</f>
        <v/>
      </c>
      <c r="P61" s="41">
        <f>$B61*P57</f>
        <v/>
      </c>
      <c r="Q61" s="41">
        <f>$B61*Q57</f>
        <v/>
      </c>
      <c r="R61" s="42">
        <f>$B61*R57</f>
        <v/>
      </c>
    </row>
    <row r="62">
      <c r="A62" s="22" t="n"/>
      <c r="B62" s="23" t="n">
        <v>0.026</v>
      </c>
      <c r="C62" s="23">
        <f>$B62*C57</f>
        <v/>
      </c>
      <c r="D62" s="23">
        <f>$B62*D57</f>
        <v/>
      </c>
      <c r="E62" s="23">
        <f>$B62*E57</f>
        <v/>
      </c>
      <c r="F62" s="23">
        <f>$B62*F57</f>
        <v/>
      </c>
      <c r="G62" s="23">
        <f>$B62*G57</f>
        <v/>
      </c>
      <c r="H62" s="23">
        <f>$B62*H57</f>
        <v/>
      </c>
      <c r="I62" s="23">
        <f>$B62*I57</f>
        <v/>
      </c>
      <c r="J62" s="23">
        <f>$B62*J57</f>
        <v/>
      </c>
      <c r="K62" s="23">
        <f>$B62*K57</f>
        <v/>
      </c>
      <c r="L62" s="23">
        <f>$B62*L57</f>
        <v/>
      </c>
      <c r="M62" s="23">
        <f>$B62*M57</f>
        <v/>
      </c>
      <c r="N62" s="23">
        <f>$B62*N57</f>
        <v/>
      </c>
      <c r="O62" s="23">
        <f>$B62*O57</f>
        <v/>
      </c>
      <c r="P62" s="43">
        <f>$B62*P57</f>
        <v/>
      </c>
      <c r="Q62" s="43">
        <f>$B62*Q57</f>
        <v/>
      </c>
      <c r="R62" s="44">
        <f>$B62*R57</f>
        <v/>
      </c>
    </row>
  </sheetData>
  <mergeCells count="5">
    <mergeCell ref="A41:B41"/>
    <mergeCell ref="A14:B14"/>
    <mergeCell ref="A1:B1"/>
    <mergeCell ref="A27:B27"/>
    <mergeCell ref="A55:B55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钟骥</dc:creator>
  <dcterms:created xsi:type="dcterms:W3CDTF">2015-06-05T18:19:34Z</dcterms:created>
  <dcterms:modified xsi:type="dcterms:W3CDTF">2026-04-05T03:10:14Z</dcterms:modified>
  <cp:lastModifiedBy>骥 钟</cp:lastModifiedBy>
</cp:coreProperties>
</file>